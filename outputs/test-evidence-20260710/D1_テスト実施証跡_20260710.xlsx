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54b42eef3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仕様書" sheetId="1" r:id="R3b20dbaf64104140"/>
    <x:sheet xmlns:r="http://schemas.openxmlformats.org/officeDocument/2006/relationships" name="実施サマリー" sheetId="2" r:id="R946c1f7494da4b19"/>
    <x:sheet xmlns:r="http://schemas.openxmlformats.org/officeDocument/2006/relationships" name="実施結果" sheetId="3" r:id="Rc4fdd85c69184780"/>
    <x:sheet xmlns:r="http://schemas.openxmlformats.org/officeDocument/2006/relationships" name="証跡一覧" sheetId="4" r:id="R608e547df5dc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color theme="1"/>
      <x:name val="Yu Gothic"/>
    </x:font>
    <x:font>
      <x:sz val="6"/>
      <x:name val="Yu Gothic"/>
    </x:font>
    <x:font>
      <x:sz val="11"/>
      <x:color theme="1"/>
      <x:name val="メイリオ"/>
    </x:font>
    <x:font>
      <x:sz val="16"/>
      <x:color theme="1"/>
      <x:name val="メイリオ"/>
    </x:font>
    <x:font>
      <x:sz val="14"/>
      <x:color theme="1"/>
      <x:name val="メイリオ"/>
    </x:font>
    <x:font>
      <x:b/>
      <x:sz val="10"/>
      <x:color rgb="FF111827"/>
      <x:name val="メイリオ"/>
    </x:font>
    <x:font>
      <x:sz val="9"/>
      <x:color rgb="FF111827"/>
      <x:name val="メイリオ"/>
    </x:font>
    <x:font>
      <x:b/>
      <x:sz val="11"/>
      <x:color rgb="FFFFFFFF"/>
      <x:name val="Yu Gothic"/>
    </x:font>
    <x:font>
      <x:b/>
      <x:sz val="18"/>
      <x:color rgb="FFFFFFFF"/>
      <x:name val="Yu Gothic"/>
    </x:font>
    <x:font>
      <x:b/>
      <x:sz val="11"/>
      <x:color rgb="FF17365D"/>
      <x:name val="Yu Gothic"/>
    </x:font>
    <x:font>
      <x:b/>
      <x:sz val="11"/>
      <x:color rgb="FF006100"/>
      <x:name val="Yu Gothic"/>
    </x:font>
    <x:font>
      <x:b/>
      <x:sz val="11"/>
      <x:color rgb="FF9C6500"/>
      <x:name val="Yu Gothic"/>
    </x:font>
    <x:font>
      <x:b/>
      <x:sz val="11"/>
      <x:color rgb="FF9C0006"/>
      <x:name val="Yu Gothic"/>
    </x:font>
    <x:font>
      <x:b/>
      <x:sz val="11"/>
      <x:color rgb="FF991B1B"/>
      <x:name val="Yu Gothic"/>
    </x:font>
    <x:font>
      <x:b/>
      <x:sz val="11"/>
      <x:color rgb="FF166534"/>
      <x:name val="Yu Gothic"/>
    </x:font>
    <x:font>
      <x:b/>
      <x:sz val="11"/>
      <x:color rgb="FF92400E"/>
      <x:name val="Yu Gothic"/>
    </x:font>
    <x:font>
      <x:b/>
      <x:sz val="11"/>
      <x:color rgb="FF9D174D"/>
      <x:name val="Yu Gothic"/>
    </x:font>
  </x:fonts>
  <x:fills count="1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</x:fills>
  <x:borders count="2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bottom style="medium">
        <x:color indexed="64"/>
      </x:bottom>
    </x:border>
    <x:border>
      <x:left style="thin">
        <x:color rgb="FF6B7280"/>
      </x:left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D9E2F3"/>
      </x:bottom>
    </x:border>
    <x:border>
      <x:left style="thin">
        <x:color rgb="FFFCA5A5"/>
      </x:left>
      <x:right style="thin">
        <x:color rgb="FFFCA5A5"/>
      </x:right>
      <x:top style="thin">
        <x:color rgb="FFFCA5A5"/>
      </x:top>
      <x:bottom style="thin">
        <x:color rgb="FFFCA5A5"/>
      </x:bottom>
    </x:border>
    <x:border>
      <x:left style="thin">
        <x:color rgb="FF86EFAC"/>
      </x:left>
      <x:right style="thin">
        <x:color rgb="FF86EFAC"/>
      </x:right>
      <x:top style="thin">
        <x:color rgb="FF86EFAC"/>
      </x:top>
      <x:bottom style="thin">
        <x:color rgb="FF86EFAC"/>
      </x:bottom>
    </x:border>
    <x:border>
      <x:left style="thin">
        <x:color rgb="FFFCD34D"/>
      </x:left>
      <x:right style="thin">
        <x:color rgb="FFFCD34D"/>
      </x:right>
      <x:top style="thin">
        <x:color rgb="FFFCD34D"/>
      </x:top>
      <x:bottom style="thin">
        <x:color rgb="FFFCD34D"/>
      </x:bottom>
    </x:border>
    <x:border>
      <x:left style="thin">
        <x:color rgb="FFF9A8D4"/>
      </x:left>
      <x:right style="thin">
        <x:color rgb="FFF9A8D4"/>
      </x:right>
      <x:top style="thin">
        <x:color rgb="FFF9A8D4"/>
      </x:top>
      <x:bottom style="thin">
        <x:color rgb="FFF9A8D4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2" fillId="0" borderId="0" xfId="0" applyFont="1"/>
    <x:xf numFmtId="0" fontId="2" fillId="0" borderId="8" xfId="0" applyFont="1" applyBorder="1" applyAlignment="1">
      <x:alignment horizontal="center" vertical="center"/>
    </x:xf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2" fillId="0" borderId="5" xfId="0" applyFont="1" applyBorder="1"/>
    <x:xf numFmtId="0" fontId="2" fillId="0" borderId="1" xfId="0" applyFont="1" applyBorder="1"/>
    <x:xf numFmtId="0" fontId="2" fillId="0" borderId="6" xfId="0" applyFont="1" applyBorder="1"/>
    <x:xf numFmtId="0" fontId="2" fillId="0" borderId="7" xfId="0" applyFont="1" applyBorder="1"/>
    <x:xf numFmtId="0" fontId="2" fillId="0" borderId="8" xfId="0" applyFont="1" applyBorder="1"/>
    <x:xf numFmtId="0" fontId="2" fillId="0" borderId="9" xfId="0" applyFont="1" applyBorder="1"/>
    <x:xf numFmtId="0" fontId="2" fillId="0" borderId="0" xfId="0" applyFont="1" applyAlignment="1">
      <x:alignment horizontal="right"/>
    </x:xf>
    <x:xf numFmtId="0" fontId="2" fillId="0" borderId="3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13" xfId="0" applyFont="1" applyBorder="1" applyAlignment="1">
      <x:alignment horizontal="center" vertical="center"/>
    </x:xf>
    <x:xf numFmtId="0" fontId="4" fillId="0" borderId="0" xfId="0" applyFont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0" fontId="4" fillId="0" borderId="0" xfId="0" applyFont="1" applyAlignment="1">
      <x:alignment horizontal="left" vertical="center"/>
    </x:xf>
    <x:xf numFmtId="0" fontId="4" fillId="0" borderId="13" xfId="0" applyFont="1" applyBorder="1" applyAlignment="1">
      <x:alignment horizontal="left" vertical="center"/>
    </x:xf>
    <x:xf numFmtId="0" fontId="2" fillId="0" borderId="0" xfId="0" applyFont="1" applyAlignment="1">
      <x:alignment horizontal="right" vertical="center"/>
    </x:xf>
    <x:xf numFmtId="0" fontId="2" fillId="0" borderId="13" xfId="0" applyFont="1" applyBorder="1" applyAlignment="1">
      <x:alignment horizontal="right" vertical="center"/>
    </x:xf>
    <x:xf numFmtId="0" fontId="2" fillId="0" borderId="0" xfId="0" applyFont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0" xfId="0" applyFont="1" applyAlignment="1">
      <x:alignment horizontal="left" vertical="center"/>
    </x:xf>
    <x:xf numFmtId="0" fontId="2" fillId="0" borderId="4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5" fillId="2" borderId="7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5" fillId="2" borderId="14" xfId="0" applyNumberFormat="1" applyFont="1" applyFill="1" applyBorder="1" applyAlignment="1">
      <x:alignment horizontal="center" vertical="center"/>
    </x:xf>
    <x:xf numFmtId="0" fontId="5" fillId="2" borderId="14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0" xfId="0" applyNumberFormat="1" applyFont="1" applyFill="1" applyBorder="1"/>
    <x:xf numFmtId="0" fontId="6" fillId="0" borderId="15" xfId="0" applyNumberFormat="1" applyFont="1" applyFill="1" applyBorder="1"/>
    <x:xf numFmtId="0" fontId="6" fillId="0" borderId="15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0" fillId="0" xfId="0" applyNumberFormat="1" applyFont="1" applyFill="1" applyBorder="0"/>
    <x:xf numFmtId="0" fontId="0" fillId="0" borderId="16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0" fontId="10" fillId="6" xfId="0" applyNumberFormat="1" applyFont="1" applyFill="1" applyBorder="0" applyAlignment="1">
      <x:alignment vertical="top" wrapText="1"/>
    </x:xf>
    <x:xf numFmtId="0" fontId="10" fillId="6" xfId="0" applyNumberFormat="1" applyFont="1" applyFill="1" applyBorder="0" applyAlignment="1">
      <x:alignment horizontal="center" vertical="top" wrapText="1"/>
    </x:xf>
    <x:xf numFmtId="0" fontId="0" fillId="7" xfId="0" applyNumberFormat="1" applyFont="1" applyFill="1" applyBorder="0" applyAlignment="1">
      <x:alignment vertical="top" wrapText="1"/>
    </x:xf>
    <x:xf numFmtId="0" fontId="11" fillId="7" xfId="0" applyNumberFormat="1" applyFont="1" applyFill="1" applyBorder="0" applyAlignment="1">
      <x:alignment vertical="top" wrapText="1"/>
    </x:xf>
    <x:xf numFmtId="0" fontId="11" fillId="7" xfId="0" applyNumberFormat="1" applyFont="1" applyFill="1" applyBorder="0" applyAlignment="1">
      <x:alignment horizontal="center" vertical="top" wrapText="1"/>
    </x:xf>
    <x:xf numFmtId="0" fontId="0" fillId="8" xfId="0" applyNumberFormat="1" applyFont="1" applyFill="1" applyBorder="0" applyAlignment="1">
      <x:alignment vertical="top" wrapText="1"/>
    </x:xf>
    <x:xf numFmtId="0" fontId="12" fillId="8" xfId="0" applyNumberFormat="1" applyFont="1" applyFill="1" applyBorder="0" applyAlignment="1">
      <x:alignment vertical="top" wrapText="1"/>
    </x:xf>
    <x:xf numFmtId="0" fontId="12" fillId="8" xfId="0" applyNumberFormat="1" applyFont="1" applyFill="1" applyBorder="0" applyAlignment="1">
      <x:alignment horizontal="center"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10" fillId="6" borderId="16" xfId="0" applyNumberFormat="1" applyFont="1" applyFill="1" applyBorder="1" applyAlignment="1">
      <x:alignment vertical="top" wrapText="1"/>
    </x:xf>
    <x:xf numFmtId="0" fontId="10" fillId="6" borderId="16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vertical="top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16" xfId="0" applyNumberFormat="1" applyFont="1" applyFill="1" applyBorder="1" applyAlignment="1">
      <x:alignment vertical="top" wrapText="0"/>
    </x:xf>
    <x:xf numFmtId="0" fontId="0" fillId="0" xfId="0" applyNumberFormat="1" applyFont="1" applyFill="1" applyBorder="0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6" xfId="0" applyNumberFormat="1" applyFont="1" applyFill="1" applyBorder="1" applyAlignment="1">
      <x:alignment vertical="center" wrapText="0"/>
    </x:xf>
    <x:xf numFmtId="0" fontId="11" fillId="9" xfId="0" applyNumberFormat="1" applyFont="1" applyFill="1" applyBorder="0" applyAlignment="1">
      <x:alignment horizontal="center" vertical="top" wrapText="1"/>
    </x:xf>
    <x:xf numFmtId="0" fontId="13" fillId="9" xfId="0" applyNumberFormat="1" applyFont="1" applyFill="1" applyBorder="0" applyAlignment="1">
      <x:alignment horizontal="center" vertical="top" wrapText="1"/>
    </x:xf>
    <x:xf numFmtId="0" fontId="0" fillId="9" xfId="0" applyNumberFormat="1" applyFont="1" applyFill="1" applyBorder="0" applyAlignment="1">
      <x:alignment vertical="top" wrapText="1"/>
    </x:xf>
    <x:xf numFmtId="0" fontId="13" fillId="9" xfId="0" applyNumberFormat="1" applyFont="1" applyFill="1" applyBorder="0" applyAlignment="1">
      <x:alignment vertical="top" wrapText="1"/>
    </x:xf>
    <x:xf numFmtId="0" fontId="13" fillId="9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1" fillId="10" xfId="0" applyNumberFormat="1" applyFont="1" applyFill="1" applyBorder="0" applyAlignment="1">
      <x:alignment horizontal="center" vertical="top" wrapText="1"/>
    </x:xf>
    <x:xf numFmtId="0" fontId="14" fillId="10" xfId="0" applyNumberFormat="1" applyFont="1" applyFill="1" applyBorder="0" applyAlignment="1">
      <x:alignment horizontal="center" vertical="top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left" wrapText="1"/>
    </x:xf>
    <x:xf numFmtId="0" fontId="0" fillId="10" xfId="0" applyNumberFormat="1" applyFont="1" applyFill="1" applyBorder="0" applyAlignment="1">
      <x:alignment vertical="top" wrapText="1"/>
    </x:xf>
    <x:xf numFmtId="0" fontId="14" fillId="10" xfId="0" applyNumberFormat="1" applyFont="1" applyFill="1" applyBorder="0" applyAlignment="1">
      <x:alignment vertical="top" wrapText="1"/>
    </x:xf>
    <x:xf numFmtId="0" fontId="14" fillId="10" borderId="18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15" fillId="11" xfId="0" applyNumberFormat="1" applyFont="1" applyFill="1" applyBorder="0" applyAlignment="1">
      <x:alignment vertical="top" wrapText="1"/>
    </x:xf>
    <x:xf numFmtId="0" fontId="15" fillId="11" borderId="19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xfId="0" applyNumberFormat="1" applyFont="1" applyFill="1" applyBorder="0" applyAlignment="1">
      <x:alignment vertical="center" wrapText="1"/>
    </x:xf>
    <x:xf numFmtId="0" fontId="16" fillId="12" xfId="0" applyNumberFormat="1" applyFont="1" applyFill="1" applyBorder="0" applyAlignment="1">
      <x:alignment vertical="top" wrapText="1"/>
    </x:xf>
    <x:xf numFmtId="0" fontId="16" fillId="12" xfId="0" applyNumberFormat="1" applyFont="1" applyFill="1" applyBorder="0" applyAlignment="1">
      <x:alignment vertical="center" wrapText="1"/>
    </x:xf>
    <x:xf numFmtId="0" fontId="16" fillId="12" borderId="20" xfId="0" applyNumberFormat="1" applyFont="1" applyFill="1" applyBorder="1" applyAlignment="1">
      <x:alignment vertical="top" wrapText="1"/>
    </x:xf>
    <x:xf numFmtId="0" fontId="16" fillId="12" borderId="2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1" fillId="14" xfId="0" applyNumberFormat="1" applyFont="1" applyFill="1" applyBorder="0" applyAlignment="1">
      <x:alignment horizontal="center" vertical="top" wrapText="1"/>
    </x:xf>
    <x:xf numFmtId="0" fontId="13" fillId="14" xfId="0" applyNumberFormat="1" applyFont="1" applyFill="1" applyBorder="0" applyAlignment="1">
      <x:alignment horizontal="center" vertical="top" wrapText="1"/>
    </x:xf>
    <x:xf numFmtId="0" fontId="10" fillId="14" xfId="0" applyNumberFormat="1" applyFont="1" applyFill="1" applyBorder="0" applyAlignment="1">
      <x:alignment horizontal="center" vertical="top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448fed1e7e49ef" /><Relationship Type="http://schemas.openxmlformats.org/officeDocument/2006/relationships/theme" Target="/xl/theme/theme1.xml" Id="R39ecb3d2019e42e9" /><Relationship Type="http://schemas.openxmlformats.org/officeDocument/2006/relationships/sharedStrings" Target="/xl/sharedStrings.xml" Id="Rb27877c0aeb044d6" /><Relationship Type="http://schemas.openxmlformats.org/officeDocument/2006/relationships/worksheet" Target="/xl/worksheets/sheet1.xml" Id="R3b20dbaf64104140" /><Relationship Type="http://schemas.openxmlformats.org/officeDocument/2006/relationships/worksheet" Target="/xl/worksheets/sheet2.xml" Id="R946c1f7494da4b19" /><Relationship Type="http://schemas.openxmlformats.org/officeDocument/2006/relationships/worksheet" Target="/xl/worksheets/sheet3.xml" Id="Rc4fdd85c69184780" /><Relationship Type="http://schemas.openxmlformats.org/officeDocument/2006/relationships/worksheet" Target="/xl/worksheets/sheet4.xml" Id="R608e547df5dc44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8.75"/>
  <x:cols>
    <x:col min="1" max="1" width="4.625" style="1" customWidth="1"/>
    <x:col min="2" max="2" width="6.440000057220459" style="1" hidden="0" customWidth="1"/>
    <x:col min="3" max="5" width="15.625" style="1" customWidth="1"/>
    <x:col min="6" max="9" width="30.625" style="1" customWidth="1"/>
    <x:col min="10" max="11" width="15.625" style="1" customWidth="1"/>
    <x:col min="12" max="12" width="12.4399995803833" style="1" hidden="0" customWidth="1"/>
    <x:col min="13" max="16384" width="8.625" style="1" customWidth="0"/>
    <x:col min="3" max="3" width="14.670000076293945" hidden="0" customWidth="1"/>
    <x:col min="4" max="4" width="12.890000343322754" hidden="0" customWidth="1"/>
    <x:col min="5" max="5" width="14.220000267028809" hidden="0" customWidth="1"/>
    <x:col min="6" max="6" width="25.559999465942383" hidden="0" customWidth="1"/>
    <x:col min="7" max="7" width="26.110000610351562" hidden="0" customWidth="1"/>
    <x:col min="8" max="8" width="26.670000076293945" hidden="0" customWidth="1"/>
    <x:col min="9" max="9" width="28.329999923706055" hidden="0" customWidth="1"/>
    <x:col min="10" max="10" width="10.220000267028809" hidden="0" customWidth="1"/>
    <x:col min="11" max="11" width="10.670000076293945" hidden="0" customWidth="1"/>
  </x:cols>
  <x:sheetData>
    <x:row r="1">
      <x:c r="J1" s="12" t="str">
        <x:v>作成日：</x:v>
      </x:c>
      <x:c r="K1" s="27" t="str">
        <x:v>2026/06/14</x:v>
      </x:c>
      <x:c r="L1" s="27"/>
    </x:row>
    <x:row r="2">
      <x:c r="C2" s="17" t="str">
        <x:v>テスト仕様書</x:v>
      </x:c>
      <x:c r="D2" s="17"/>
      <x:c r="F2" s="19" t="str">
        <x:v>プロトタイプ名：LinkTwon</x:v>
      </x:c>
      <x:c r="G2" s="21"/>
      <x:c r="H2" s="21"/>
      <x:c r="J2" s="23" t="str">
        <x:v>チーム番号：D1</x:v>
      </x:c>
      <x:c r="K2" s="25"/>
    </x:row>
    <x:row r="3" ht="19.5">
      <x:c r="C3" s="18"/>
      <x:c r="D3" s="18"/>
      <x:c r="F3" s="20"/>
      <x:c r="G3" s="22"/>
      <x:c r="H3" s="22"/>
      <x:c r="J3" s="24"/>
      <x:c r="K3" s="26"/>
    </x:row>
    <x:row r="4" ht="27" customHeight="1">
      <x:c r="B4" s="43" t="str">
        <x:v>No.</x:v>
      </x:c>
      <x:c r="C4" s="43" t="str">
        <x:v>テスト対象</x:v>
      </x:c>
      <x:c r="D4" s="43"/>
      <x:c r="E4" s="43" t="str">
        <x:v>テスト観点</x:v>
      </x:c>
      <x:c r="F4" s="43" t="str">
        <x:v>確認内容</x:v>
      </x:c>
      <x:c r="G4" s="43" t="str">
        <x:v>テスト条件</x:v>
      </x:c>
      <x:c r="H4" s="43" t="str">
        <x:v>テスト手順</x:v>
      </x:c>
      <x:c r="I4" s="43" t="str">
        <x:v>期待値</x:v>
      </x:c>
      <x:c r="J4" s="43" t="str">
        <x:v>実行日</x:v>
      </x:c>
      <x:c r="K4" s="43" t="str">
        <x:v>実行者</x:v>
      </x:c>
      <x:c r="L4" s="43" t="str">
        <x:v>実行結果</x:v>
      </x:c>
    </x:row>
    <x:row r="5" ht="27" customHeight="1">
      <x:c r="B5" s="43"/>
      <x:c r="C5" s="43" t="str">
        <x:v>画面</x:v>
      </x:c>
      <x:c r="D5" s="43" t="str">
        <x:v>項目</x:v>
      </x:c>
      <x:c r="E5" s="43"/>
      <x:c r="F5" s="43"/>
      <x:c r="G5" s="43"/>
      <x:c r="H5" s="43"/>
      <x:c r="I5" s="43"/>
      <x:c r="J5" s="43"/>
      <x:c r="K5" s="43"/>
      <x:c r="L5" s="43"/>
    </x:row>
    <x:row r="6" ht="48" customHeight="1">
      <x:c r="B6" s="57" t="str">
        <x:v>T-001</x:v>
      </x:c>
      <x:c r="C6" s="56" t="str">
        <x:v>ログイン画面</x:v>
      </x:c>
      <x:c r="D6" s="56" t="str">
        <x:v>新規登録</x:v>
      </x:c>
      <x:c r="E6" s="56" t="str">
        <x:v>システムテスト</x:v>
      </x:c>
      <x:c r="F6" s="56" t="str">
        <x:v>利用者アカウントを登録できること</x:v>
      </x:c>
      <x:c r="G6" s="56" t="str">
        <x:v>未登録メールアドレス、表示名、パスワードを用意する</x:v>
      </x:c>
      <x:c r="H6" s="56" t="str">
        <x:v>ログイン画面から新規登録を実行する</x:v>
      </x:c>
      <x:c r="I6" s="56" t="str">
        <x:v>登録が成功し、利用者としてログインまたはログイン可能な状態になる</x:v>
      </x:c>
      <x:c r="J6" s="57" t="str"/>
      <x:c r="K6" s="57" t="str"/>
      <x:c r="L6" s="57" t="str"/>
    </x:row>
    <x:row r="7" ht="48" customHeight="1">
      <x:c r="B7" s="57" t="str">
        <x:v>T-002</x:v>
      </x:c>
      <x:c r="C7" s="56" t="str">
        <x:v>ログイン画面</x:v>
      </x:c>
      <x:c r="D7" s="56" t="str">
        <x:v>ログイン</x:v>
      </x:c>
      <x:c r="E7" s="56" t="str">
        <x:v>システムテスト</x:v>
      </x:c>
      <x:c r="F7" s="56" t="str">
        <x:v>正しいメールアドレスとパスワードでログインできること</x:v>
      </x:c>
      <x:c r="G7" s="56" t="str">
        <x:v>登録済みユーザーを用意する</x:v>
      </x:c>
      <x:c r="H7" s="56" t="str">
        <x:v>メールアドレスとパスワードを入力してログインする</x:v>
      </x:c>
      <x:c r="I7" s="56" t="str">
        <x:v>ホーム画面へ遷移し、JWTを用いたAPI取得が成功する</x:v>
      </x:c>
      <x:c r="J7" s="57" t="str"/>
      <x:c r="K7" s="57" t="str"/>
      <x:c r="L7" s="57" t="str"/>
    </x:row>
    <x:row r="8" ht="48" customHeight="1">
      <x:c r="B8" s="57" t="str">
        <x:v>T-003</x:v>
      </x:c>
      <x:c r="C8" s="56" t="str">
        <x:v>ログイン画面</x:v>
      </x:c>
      <x:c r="D8" s="56" t="str">
        <x:v>ログイン失敗</x:v>
      </x:c>
      <x:c r="E8" s="56" t="str">
        <x:v>異常系システムテスト</x:v>
      </x:c>
      <x:c r="F8" s="56" t="str">
        <x:v>不正な認証情報を拒否できること</x:v>
      </x:c>
      <x:c r="G8" s="56" t="str">
        <x:v>登録済みユーザーと誤ったメールアドレスまたはパスワードを用意する</x:v>
      </x:c>
      <x:c r="H8" s="56" t="str">
        <x:v>誤った情報でログインする</x:v>
      </x:c>
      <x:c r="I8" s="56" t="str">
        <x:v>ログインせず、Invalid email or password 等のエラーが表示される</x:v>
      </x:c>
      <x:c r="J8" s="57" t="str"/>
      <x:c r="K8" s="57" t="str"/>
      <x:c r="L8" s="57" t="str"/>
    </x:row>
    <x:row r="9" ht="48" customHeight="1">
      <x:c r="B9" s="57" t="str">
        <x:v>T-004</x:v>
      </x:c>
      <x:c r="C9" s="56" t="str">
        <x:v>ログイン画面</x:v>
      </x:c>
      <x:c r="D9" s="56" t="str">
        <x:v>レート制限</x:v>
      </x:c>
      <x:c r="E9" s="56" t="str">
        <x:v>異常系結合テスト</x:v>
      </x:c>
      <x:c r="F9" s="56" t="str">
        <x:v>短時間の連続認証試行を制限できること</x:v>
      </x:c>
      <x:c r="G9" s="56" t="str">
        <x:v>同一端末からログイン失敗を連続実行できる状態にする</x:v>
      </x:c>
      <x:c r="H9" s="56" t="str">
        <x:v>ログイン失敗を規定回数以上連続で実行する</x:v>
      </x:c>
      <x:c r="I9" s="56" t="str">
        <x:v>429相当のエラーまたは時間を置く案内が表示される</x:v>
      </x:c>
      <x:c r="J9" s="57" t="str"/>
      <x:c r="K9" s="57" t="str"/>
      <x:c r="L9" s="57" t="str"/>
    </x:row>
    <x:row r="10" ht="48" customHeight="1">
      <x:c r="B10" s="57" t="str">
        <x:v>T-005</x:v>
      </x:c>
      <x:c r="C10" s="56" t="str">
        <x:v>パスワード再設定</x:v>
      </x:c>
      <x:c r="D10" s="56" t="str">
        <x:v>再設定依頼</x:v>
      </x:c>
      <x:c r="E10" s="56" t="str">
        <x:v>結合テスト</x:v>
      </x:c>
      <x:c r="F10" s="56" t="str">
        <x:v>パスワード再設定依頼を受け付けられること</x:v>
      </x:c>
      <x:c r="G10" s="56" t="str">
        <x:v>登録済みメールアドレスを用意する</x:v>
      </x:c>
      <x:c r="H10" s="56" t="str">
        <x:v>再設定依頼フォームにメールアドレスを入力して送信する</x:v>
      </x:c>
      <x:c r="I10" s="56" t="str">
        <x:v>再設定手順の案内が表示され、サーバ側で再設定トークンが生成される</x:v>
      </x:c>
      <x:c r="J10" s="57" t="str"/>
      <x:c r="K10" s="57" t="str"/>
      <x:c r="L10" s="57" t="str"/>
    </x:row>
    <x:row r="11" ht="48" customHeight="1">
      <x:c r="B11" s="57" t="str">
        <x:v>T-006</x:v>
      </x:c>
      <x:c r="C11" s="56" t="str">
        <x:v>パスワード再設定</x:v>
      </x:c>
      <x:c r="D11" s="56" t="str">
        <x:v>再設定実行</x:v>
      </x:c>
      <x:c r="E11" s="56" t="str">
        <x:v>結合テスト</x:v>
      </x:c>
      <x:c r="F11" s="56" t="str">
        <x:v>有効な再設定トークンでパスワードを更新できること</x:v>
      </x:c>
      <x:c r="G11" s="56" t="str">
        <x:v>有効な再設定トークンと新しいパスワードを用意する</x:v>
      </x:c>
      <x:c r="H11" s="56" t="str">
        <x:v>再設定フォームで新しいパスワードを送信する</x:v>
      </x:c>
      <x:c r="I11" s="56" t="str">
        <x:v>パスワードが更新され、新パスワードでログインできる</x:v>
      </x:c>
      <x:c r="J11" s="57" t="str"/>
      <x:c r="K11" s="57" t="str"/>
      <x:c r="L11" s="57" t="str"/>
    </x:row>
    <x:row r="12" ht="48" customHeight="1">
      <x:c r="B12" s="57" t="str">
        <x:v>T-007</x:v>
      </x:c>
      <x:c r="C12" s="56" t="str">
        <x:v>共通</x:v>
      </x:c>
      <x:c r="D12" s="56" t="str">
        <x:v>認証切れ</x:v>
      </x:c>
      <x:c r="E12" s="56" t="str">
        <x:v>異常系結合テスト</x:v>
      </x:c>
      <x:c r="F12" s="56" t="str">
        <x:v>認証切れ時に安全にログインへ戻ること</x:v>
      </x:c>
      <x:c r="G12" s="56" t="str">
        <x:v>期限切れまたは無効なJWTを保存した状態にする</x:v>
      </x:c>
      <x:c r="H12" s="56" t="str">
        <x:v>任意の認証必須APIを呼ぶ画面を開く</x:v>
      </x:c>
      <x:c r="I12" s="56" t="str">
        <x:v>401を検知し、セッションを破棄してログイン画面へ戻る</x:v>
      </x:c>
      <x:c r="J12" s="57" t="str"/>
      <x:c r="K12" s="57" t="str"/>
      <x:c r="L12" s="57" t="str"/>
    </x:row>
    <x:row r="13" ht="48" customHeight="1">
      <x:c r="B13" s="57" t="str">
        <x:v>T-008</x:v>
      </x:c>
      <x:c r="C13" s="56" t="str">
        <x:v>ホーム</x:v>
      </x:c>
      <x:c r="D13" s="56" t="str">
        <x:v>初期表示</x:v>
      </x:c>
      <x:c r="E13" s="56" t="str">
        <x:v>システムテスト</x:v>
      </x:c>
      <x:c r="F13" s="56" t="str">
        <x:v>保有ポイント、参加予定、おすすめイベントが表示されること</x:v>
      </x:c>
      <x:c r="G13" s="56" t="str">
        <x:v>イベント、履歴、ポイントを持つ利用者でログインする</x:v>
      </x:c>
      <x:c r="H13" s="56" t="str">
        <x:v>ログイン後にホーム画面を表示する</x:v>
      </x:c>
      <x:c r="I13" s="56" t="str">
        <x:v>ポイント残高、参加予定イベント、おすすめのイベントが正しく表示される</x:v>
      </x:c>
      <x:c r="J13" s="57" t="str"/>
      <x:c r="K13" s="57" t="str"/>
      <x:c r="L13" s="57" t="str"/>
    </x:row>
    <x:row r="14" ht="48" customHeight="1">
      <x:c r="B14" s="57" t="str">
        <x:v>T-009</x:v>
      </x:c>
      <x:c r="C14" s="56" t="str">
        <x:v>ホーム</x:v>
      </x:c>
      <x:c r="D14" s="56" t="str">
        <x:v>空状態</x:v>
      </x:c>
      <x:c r="E14" s="56" t="str">
        <x:v>異常系システムテスト</x:v>
      </x:c>
      <x:c r="F14" s="56" t="str">
        <x:v>表示データが0件の場合も破綻しないこと</x:v>
      </x:c>
      <x:c r="G14" s="56" t="str">
        <x:v>イベント、履歴、サービスが0件の利用者データを用意する</x:v>
      </x:c>
      <x:c r="H14" s="56" t="str">
        <x:v>ホーム画面と各一覧画面を開く</x:v>
      </x:c>
      <x:c r="I14" s="56" t="str">
        <x:v>空状態メッセージが表示され、画面崩れや例外が発生しない</x:v>
      </x:c>
      <x:c r="J14" s="57" t="str"/>
      <x:c r="K14" s="57" t="str"/>
      <x:c r="L14" s="57" t="str"/>
    </x:row>
    <x:row r="15" ht="48" customHeight="1">
      <x:c r="B15" s="57" t="str">
        <x:v>T-010</x:v>
      </x:c>
      <x:c r="C15" s="56" t="str">
        <x:v>ホーム</x:v>
      </x:c>
      <x:c r="D15" s="56" t="str">
        <x:v>API取得失敗</x:v>
      </x:c>
      <x:c r="E15" s="56" t="str">
        <x:v>異常系結合テスト</x:v>
      </x:c>
      <x:c r="F15" s="56" t="str">
        <x:v>API失敗時に再試行可能なエラー表示になること</x:v>
      </x:c>
      <x:c r="G15" s="56" t="str">
        <x:v>バックエンド停止または通信失敗状態を作る</x:v>
      </x:c>
      <x:c r="H15" s="56" t="str">
        <x:v>ホーム画面を表示する</x:v>
      </x:c>
      <x:c r="I15" s="56" t="str">
        <x:v>Failed to fetch 等を利用者に分かる形で表示し、操作不能な空白画面にならない</x:v>
      </x:c>
      <x:c r="J15" s="57" t="str"/>
      <x:c r="K15" s="57" t="str"/>
      <x:c r="L15" s="57" t="str"/>
    </x:row>
    <x:row r="16" ht="48" customHeight="1">
      <x:c r="B16" s="57" t="str">
        <x:v>T-011</x:v>
      </x:c>
      <x:c r="C16" s="56" t="str">
        <x:v>イベント一覧</x:v>
      </x:c>
      <x:c r="D16" s="56" t="str">
        <x:v>一覧取得</x:v>
      </x:c>
      <x:c r="E16" s="56" t="str">
        <x:v>結合テスト</x:v>
      </x:c>
      <x:c r="F16" s="56" t="str">
        <x:v>公開中イベントを一覧表示できること</x:v>
      </x:c>
      <x:c r="G16" s="56" t="str">
        <x:v>公開中イベントを複数件用意する</x:v>
      </x:c>
      <x:c r="H16" s="56" t="str">
        <x:v>イベントタブを開く</x:v>
      </x:c>
      <x:c r="I16" s="56" t="str">
        <x:v>イベント名、概要、日時、場所、付与ポイント、状態が一覧に表示される</x:v>
      </x:c>
      <x:c r="J16" s="57" t="str"/>
      <x:c r="K16" s="57" t="str"/>
      <x:c r="L16" s="57" t="str"/>
    </x:row>
    <x:row r="17" ht="48" customHeight="1">
      <x:c r="B17" s="57" t="str">
        <x:v>T-012</x:v>
      </x:c>
      <x:c r="C17" s="56" t="str">
        <x:v>イベント一覧</x:v>
      </x:c>
      <x:c r="D17" s="56" t="str">
        <x:v>タブ切替</x:v>
      </x:c>
      <x:c r="E17" s="56" t="str">
        <x:v>システムテスト</x:v>
      </x:c>
      <x:c r="F17" s="56" t="str">
        <x:v>おすすめ、いいね済み、応募済みを切り替えられること</x:v>
      </x:c>
      <x:c r="G17" s="56" t="str">
        <x:v>いいね済みイベントと応募済みイベントを用意する</x:v>
      </x:c>
      <x:c r="H17" s="56" t="str">
        <x:v>イベント画面で各タブを切り替える</x:v>
      </x:c>
      <x:c r="I17" s="56" t="str">
        <x:v>各タブに対象イベントだけが表示され、0件時は空状態が表示される</x:v>
      </x:c>
      <x:c r="J17" s="57" t="str"/>
      <x:c r="K17" s="57" t="str"/>
      <x:c r="L17" s="57" t="str"/>
    </x:row>
    <x:row r="18" ht="48" customHeight="1">
      <x:c r="B18" s="57" t="str">
        <x:v>T-013</x:v>
      </x:c>
      <x:c r="C18" s="56" t="str">
        <x:v>イベント詳細モーダル</x:v>
      </x:c>
      <x:c r="D18" s="56" t="str">
        <x:v>詳細表示</x:v>
      </x:c>
      <x:c r="E18" s="56" t="str">
        <x:v>システムテスト</x:v>
      </x:c>
      <x:c r="F18" s="56" t="str">
        <x:v>イベント詳細モーダルが内容を表示できること</x:v>
      </x:c>
      <x:c r="G18" s="56" t="str">
        <x:v>イベント一覧に表示されるイベントを用意する</x:v>
      </x:c>
      <x:c r="H18" s="56" t="str">
        <x:v>イベントカードを選択する</x:v>
      </x:c>
      <x:c r="I18" s="56" t="str">
        <x:v>詳細、活動内容、注意事項、場所、日時、ポイント、応募/いいね操作が表示される</x:v>
      </x:c>
      <x:c r="J18" s="57" t="str"/>
      <x:c r="K18" s="57" t="str"/>
      <x:c r="L18" s="57" t="str"/>
    </x:row>
    <x:row r="19" ht="48" customHeight="1">
      <x:c r="B19" s="57" t="str">
        <x:v>T-014</x:v>
      </x:c>
      <x:c r="C19" s="56" t="str">
        <x:v>イベント詳細モーダル</x:v>
      </x:c>
      <x:c r="D19" s="56" t="str">
        <x:v>閉じる操作</x:v>
      </x:c>
      <x:c r="E19" s="56" t="str">
        <x:v>システムテスト</x:v>
      </x:c>
      <x:c r="F19" s="56" t="str">
        <x:v>モーダルを外側タップと下フリックで閉じられること</x:v>
      </x:c>
      <x:c r="G19" s="56" t="str">
        <x:v>スマートフォン幅でイベント詳細を開く</x:v>
      </x:c>
      <x:c r="H19" s="56" t="str">
        <x:v>モーダル外側をタップする。次に再度開いて下方向にフリックする</x:v>
      </x:c>
      <x:c r="I19" s="56" t="str">
        <x:v>どちらの操作でもモーダルが閉じ、スクロール操作とは誤判定されない</x:v>
      </x:c>
      <x:c r="J19" s="57" t="str"/>
      <x:c r="K19" s="57" t="str"/>
      <x:c r="L19" s="57" t="str"/>
    </x:row>
    <x:row r="20" ht="48" customHeight="1">
      <x:c r="B20" s="57" t="str">
        <x:v>T-015</x:v>
      </x:c>
      <x:c r="C20" s="56" t="str">
        <x:v>イベント詳細モーダル</x:v>
      </x:c>
      <x:c r="D20" s="56" t="str">
        <x:v>参加登録</x:v>
      </x:c>
      <x:c r="E20" s="56" t="str">
        <x:v>結合テスト</x:v>
      </x:c>
      <x:c r="F20" s="56" t="str">
        <x:v>イベント参加登録でポイントが付与されること</x:v>
      </x:c>
      <x:c r="G20" s="56" t="str">
        <x:v>参加可能イベントと未参加ユーザーを用意する</x:v>
      </x:c>
      <x:c r="H20" s="56" t="str">
        <x:v>イベント詳細から応募する</x:v>
      </x:c>
      <x:c r="I20" s="56" t="str">
        <x:v>参加状態になり、履歴とポイント残高へ付与分が反映される</x:v>
      </x:c>
      <x:c r="J20" s="57" t="str"/>
      <x:c r="K20" s="57" t="str"/>
      <x:c r="L20" s="57" t="str"/>
    </x:row>
    <x:row r="21" ht="48" customHeight="1">
      <x:c r="B21" s="57" t="str">
        <x:v>T-016</x:v>
      </x:c>
      <x:c r="C21" s="56" t="str">
        <x:v>イベント詳細モーダル</x:v>
      </x:c>
      <x:c r="D21" s="56" t="str">
        <x:v>重複参加</x:v>
      </x:c>
      <x:c r="E21" s="56" t="str">
        <x:v>異常系結合テスト</x:v>
      </x:c>
      <x:c r="F21" s="56" t="str">
        <x:v>同じイベントへの二重参加を防止できること</x:v>
      </x:c>
      <x:c r="G21" s="56" t="str">
        <x:v>参加済みイベントを用意する</x:v>
      </x:c>
      <x:c r="H21" s="56" t="str">
        <x:v>同じイベントに再度応募する</x:v>
      </x:c>
      <x:c r="I21" s="56" t="str">
        <x:v>409相当または応募済み表示となり、ポイントが二重付与されない</x:v>
      </x:c>
      <x:c r="J21" s="57" t="str"/>
      <x:c r="K21" s="57" t="str"/>
      <x:c r="L21" s="57" t="str"/>
    </x:row>
    <x:row r="22" ht="48" customHeight="1">
      <x:c r="B22" s="57" t="str">
        <x:v>T-017</x:v>
      </x:c>
      <x:c r="C22" s="56" t="str">
        <x:v>イベント詳細モーダル</x:v>
      </x:c>
      <x:c r="D22" s="56" t="str">
        <x:v>参加不可イベント</x:v>
      </x:c>
      <x:c r="E22" s="56" t="str">
        <x:v>異常系システムテスト</x:v>
      </x:c>
      <x:c r="F22" s="56" t="str">
        <x:v>募集停止中イベントへの応募を拒否できること</x:v>
      </x:c>
      <x:c r="G22" s="56" t="str">
        <x:v>募集停止中または期限切れイベントを用意する</x:v>
      </x:c>
      <x:c r="H22" s="56" t="str">
        <x:v>イベント詳細から応募する</x:v>
      </x:c>
      <x:c r="I22" s="56" t="str">
        <x:v>応募不可のメッセージが表示され、参加履歴とポイントは変化しない</x:v>
      </x:c>
      <x:c r="J22" s="57" t="str"/>
      <x:c r="K22" s="57" t="str"/>
      <x:c r="L22" s="57" t="str"/>
    </x:row>
    <x:row r="23" ht="48" customHeight="1">
      <x:c r="B23" s="57" t="str">
        <x:v>T-018</x:v>
      </x:c>
      <x:c r="C23" s="56" t="str">
        <x:v>イベント詳細モーダル</x:v>
      </x:c>
      <x:c r="D23" s="56" t="str">
        <x:v>参加キャンセル</x:v>
      </x:c>
      <x:c r="E23" s="56" t="str">
        <x:v>結合テスト</x:v>
      </x:c>
      <x:c r="F23" s="56" t="str">
        <x:v>参加キャンセルで参加状態とポイントが戻ること</x:v>
      </x:c>
      <x:c r="G23" s="56" t="str">
        <x:v>参加済みイベントを用意する</x:v>
      </x:c>
      <x:c r="H23" s="56" t="str">
        <x:v>応募済みイベントからキャンセルを実行する</x:v>
      </x:c>
      <x:c r="I23" s="56" t="str">
        <x:v>参加履歴が取り消され、付与ポイントが残高から差し引かれる</x:v>
      </x:c>
      <x:c r="J23" s="57" t="str"/>
      <x:c r="K23" s="57" t="str"/>
      <x:c r="L23" s="57" t="str"/>
    </x:row>
    <x:row r="24" ht="48" customHeight="1">
      <x:c r="B24" s="57" t="str">
        <x:v>T-019</x:v>
      </x:c>
      <x:c r="C24" s="56" t="str">
        <x:v>イベント詳細モーダル</x:v>
      </x:c>
      <x:c r="D24" s="56" t="str">
        <x:v>いいね追加</x:v>
      </x:c>
      <x:c r="E24" s="56" t="str">
        <x:v>結合テスト</x:v>
      </x:c>
      <x:c r="F24" s="56" t="str">
        <x:v>イベントにいいねを追加できること</x:v>
      </x:c>
      <x:c r="G24" s="56" t="str">
        <x:v>未いいねイベントを用意する</x:v>
      </x:c>
      <x:c r="H24" s="56" t="str">
        <x:v>イベント詳細または一覧からいいねを押す</x:v>
      </x:c>
      <x:c r="I24" s="56" t="str">
        <x:v>いいね状態になり、いいね済みタブと件数に反映される</x:v>
      </x:c>
      <x:c r="J24" s="57" t="str"/>
      <x:c r="K24" s="57" t="str"/>
      <x:c r="L24" s="57" t="str"/>
    </x:row>
    <x:row r="25" ht="48" customHeight="1">
      <x:c r="B25" s="57" t="str">
        <x:v>T-020</x:v>
      </x:c>
      <x:c r="C25" s="56" t="str">
        <x:v>イベント詳細モーダル</x:v>
      </x:c>
      <x:c r="D25" s="56" t="str">
        <x:v>いいね解除</x:v>
      </x:c>
      <x:c r="E25" s="56" t="str">
        <x:v>結合テスト</x:v>
      </x:c>
      <x:c r="F25" s="56" t="str">
        <x:v>イベントのいいねを解除できること</x:v>
      </x:c>
      <x:c r="G25" s="56" t="str">
        <x:v>いいね済みイベントを用意する</x:v>
      </x:c>
      <x:c r="H25" s="56" t="str">
        <x:v>いいね済みイベントのいいねを解除する</x:v>
      </x:c>
      <x:c r="I25" s="56" t="str">
        <x:v>いいね状態が解除され、いいね済みタブから外れる</x:v>
      </x:c>
      <x:c r="J25" s="57" t="str"/>
      <x:c r="K25" s="57" t="str"/>
      <x:c r="L25" s="57" t="str"/>
    </x:row>
    <x:row r="26" ht="48" customHeight="1">
      <x:c r="B26" s="57" t="str">
        <x:v>T-021</x:v>
      </x:c>
      <x:c r="C26" s="56" t="str">
        <x:v>提示QR画面</x:v>
      </x:c>
      <x:c r="D26" s="56" t="str">
        <x:v>QR表示</x:v>
      </x:c>
      <x:c r="E26" s="56" t="str">
        <x:v>システムテスト</x:v>
      </x:c>
      <x:c r="F26" s="56" t="str">
        <x:v>利用者が本人確認QRを提示できること</x:v>
      </x:c>
      <x:c r="G26" s="56" t="str">
        <x:v>ログイン済み利用者を用意する</x:v>
      </x:c>
      <x:c r="H26" s="56" t="str">
        <x:v>下部ナビの提示QR画面を開く</x:v>
      </x:c>
      <x:c r="I26" s="56" t="str">
        <x:v>QR画像、QR内容、有効期限、更新ボタンが表示される</x:v>
      </x:c>
      <x:c r="J26" s="57" t="str"/>
      <x:c r="K26" s="57" t="str"/>
      <x:c r="L26" s="57" t="str"/>
    </x:row>
    <x:row r="27" ht="48" customHeight="1">
      <x:c r="B27" s="57" t="str">
        <x:v>T-022</x:v>
      </x:c>
      <x:c r="C27" s="56" t="str">
        <x:v>提示QR画面</x:v>
      </x:c>
      <x:c r="D27" s="56" t="str">
        <x:v>QR内容</x:v>
      </x:c>
      <x:c r="E27" s="56" t="str">
        <x:v>単体テスト</x:v>
      </x:c>
      <x:c r="F27" s="56" t="str">
        <x:v>QRに秘密情報を含めないこと</x:v>
      </x:c>
      <x:c r="G27" s="56" t="str">
        <x:v>提示QRを生成する</x:v>
      </x:c>
      <x:c r="H27" s="56" t="str">
        <x:v>QR内容をテキストで確認する</x:v>
      </x:c>
      <x:c r="I27" s="56" t="str">
        <x:v>user_id、name、issued_at、expires_at、nonceのみを含み、JWT、パスワード、決済情報を含まない</x:v>
      </x:c>
      <x:c r="J27" s="57" t="str"/>
      <x:c r="K27" s="57" t="str"/>
      <x:c r="L27" s="57" t="str"/>
    </x:row>
    <x:row r="28" ht="48" customHeight="1">
      <x:c r="B28" s="57" t="str">
        <x:v>T-023</x:v>
      </x:c>
      <x:c r="C28" s="56" t="str">
        <x:v>提示QR画面</x:v>
      </x:c>
      <x:c r="D28" s="56" t="str">
        <x:v>QR更新</x:v>
      </x:c>
      <x:c r="E28" s="56" t="str">
        <x:v>単体テスト</x:v>
      </x:c>
      <x:c r="F28" s="56" t="str">
        <x:v>QR更新時にnonceと期限が更新されること</x:v>
      </x:c>
      <x:c r="G28" s="56" t="str">
        <x:v>提示QR画面を開く</x:v>
      </x:c>
      <x:c r="H28" s="56" t="str">
        <x:v>QR更新ボタンを押す</x:v>
      </x:c>
      <x:c r="I28" s="56" t="str">
        <x:v>新しいnonceとexpires_atが発行され、古い表示内容と区別できる</x:v>
      </x:c>
      <x:c r="J28" s="57" t="str"/>
      <x:c r="K28" s="57" t="str"/>
      <x:c r="L28" s="57" t="str"/>
    </x:row>
    <x:row r="29" ht="48" customHeight="1">
      <x:c r="B29" s="57" t="str">
        <x:v>T-024</x:v>
      </x:c>
      <x:c r="C29" s="56" t="str">
        <x:v>ウォレット</x:v>
      </x:c>
      <x:c r="D29" s="56" t="str">
        <x:v>残高表示</x:v>
      </x:c>
      <x:c r="E29" s="56" t="str">
        <x:v>システムテスト</x:v>
      </x:c>
      <x:c r="F29" s="56" t="str">
        <x:v>ポイント残高と履歴を確認できること</x:v>
      </x:c>
      <x:c r="G29" s="56" t="str">
        <x:v>ポイント履歴、購入履歴、交換履歴を持つ利用者を用意する</x:v>
      </x:c>
      <x:c r="H29" s="56" t="str">
        <x:v>ウォレット画面を開く</x:v>
      </x:c>
      <x:c r="I29" s="56" t="str">
        <x:v>現在残高と各履歴が時系列で表示される</x:v>
      </x:c>
      <x:c r="J29" s="57" t="str"/>
      <x:c r="K29" s="57" t="str"/>
      <x:c r="L29" s="57" t="str"/>
    </x:row>
    <x:row r="30" ht="48" customHeight="1">
      <x:c r="B30" s="57" t="str">
        <x:v>T-025</x:v>
      </x:c>
      <x:c r="C30" s="56" t="str">
        <x:v>ウォレット</x:v>
      </x:c>
      <x:c r="D30" s="56" t="str">
        <x:v>ポイント購入</x:v>
      </x:c>
      <x:c r="E30" s="56" t="str">
        <x:v>結合テスト</x:v>
      </x:c>
      <x:c r="F30" s="56" t="str">
        <x:v>ポイントを購入し残高へ反映できること</x:v>
      </x:c>
      <x:c r="G30" s="56" t="str">
        <x:v>支払い方法を持つ利用者を用意する</x:v>
      </x:c>
      <x:c r="H30" s="56" t="str">
        <x:v>ポイント購入画面で購入額を選び確定する</x:v>
      </x:c>
      <x:c r="I30" s="56" t="str">
        <x:v>購入履歴が作成され、残高が購入分増加する</x:v>
      </x:c>
      <x:c r="J30" s="57" t="str"/>
      <x:c r="K30" s="57" t="str"/>
      <x:c r="L30" s="57" t="str"/>
    </x:row>
    <x:row r="31" ht="48" customHeight="1">
      <x:c r="B31" s="57" t="str">
        <x:v>T-026</x:v>
      </x:c>
      <x:c r="C31" s="56" t="str">
        <x:v>ウォレット</x:v>
      </x:c>
      <x:c r="D31" s="56" t="str">
        <x:v>購入失敗</x:v>
      </x:c>
      <x:c r="E31" s="56" t="str">
        <x:v>異常系結合テスト</x:v>
      </x:c>
      <x:c r="F31" s="56" t="str">
        <x:v>決済失敗時に残高を変更しないこと</x:v>
      </x:c>
      <x:c r="G31" s="56" t="str">
        <x:v>失敗する支払い方法または決済エラー条件を用意する</x:v>
      </x:c>
      <x:c r="H31" s="56" t="str">
        <x:v>ポイント購入を実行する</x:v>
      </x:c>
      <x:c r="I31" s="56" t="str">
        <x:v>失敗メッセージが表示され、残高と購入履歴は増えない</x:v>
      </x:c>
      <x:c r="J31" s="57" t="str"/>
      <x:c r="K31" s="57" t="str"/>
      <x:c r="L31" s="57" t="str"/>
    </x:row>
    <x:row r="32" ht="48" customHeight="1">
      <x:c r="B32" s="57" t="str">
        <x:v>T-027</x:v>
      </x:c>
      <x:c r="C32" s="56" t="str">
        <x:v>商品交換</x:v>
      </x:c>
      <x:c r="D32" s="56" t="str">
        <x:v>商品一覧</x:v>
      </x:c>
      <x:c r="E32" s="56" t="str">
        <x:v>システムテスト</x:v>
      </x:c>
      <x:c r="F32" s="56" t="str">
        <x:v>交換可能な商品カテゴリと商品を表示できること</x:v>
      </x:c>
      <x:c r="G32" s="56" t="str">
        <x:v>交換可能商品を複数件用意する</x:v>
      </x:c>
      <x:c r="H32" s="56" t="str">
        <x:v>ウォレットまたは商品交換導線を開く</x:v>
      </x:c>
      <x:c r="I32" s="56" t="str">
        <x:v>商品名、説明、必要ポイント、店舗情報が表示される</x:v>
      </x:c>
      <x:c r="J32" s="57" t="str"/>
      <x:c r="K32" s="57" t="str"/>
      <x:c r="L32" s="57" t="str"/>
    </x:row>
    <x:row r="33" ht="48" customHeight="1">
      <x:c r="B33" s="57" t="str">
        <x:v>T-028</x:v>
      </x:c>
      <x:c r="C33" s="56" t="str">
        <x:v>商品交換</x:v>
      </x:c>
      <x:c r="D33" s="56" t="str">
        <x:v>商品詳細と地図</x:v>
      </x:c>
      <x:c r="E33" s="56" t="str">
        <x:v>システムテスト</x:v>
      </x:c>
      <x:c r="F33" s="56" t="str">
        <x:v>商品選択時に店舗位置を地図表示できること</x:v>
      </x:c>
      <x:c r="G33" s="56" t="str">
        <x:v>店舗名と住所を持つ商品を用意する</x:v>
      </x:c>
      <x:c r="H33" s="56" t="str">
        <x:v>商品を選択する</x:v>
      </x:c>
      <x:c r="I33" s="56" t="str">
        <x:v>店舗名・住所から地図検索URLが生成され、地図表示または外部地図への導線が表示される</x:v>
      </x:c>
      <x:c r="J33" s="57" t="str"/>
      <x:c r="K33" s="57" t="str"/>
      <x:c r="L33" s="57" t="str"/>
    </x:row>
    <x:row r="34" ht="48" customHeight="1">
      <x:c r="B34" s="57" t="str">
        <x:v>T-029</x:v>
      </x:c>
      <x:c r="C34" s="56" t="str">
        <x:v>商品交換</x:v>
      </x:c>
      <x:c r="D34" s="56" t="str">
        <x:v>ポイント交換</x:v>
      </x:c>
      <x:c r="E34" s="56" t="str">
        <x:v>結合テスト</x:v>
      </x:c>
      <x:c r="F34" s="56" t="str">
        <x:v>ポイントで商品交換を実行できること</x:v>
      </x:c>
      <x:c r="G34" s="56" t="str">
        <x:v>必要ポイント以上の残高を持つ利用者と交換可能商品を用意する</x:v>
      </x:c>
      <x:c r="H34" s="56" t="str">
        <x:v>商品を選択して交換を確定する</x:v>
      </x:c>
      <x:c r="I34" s="56" t="str">
        <x:v>交換履歴が作成され、残高が必要ポイント分減少する</x:v>
      </x:c>
      <x:c r="J34" s="57" t="str"/>
      <x:c r="K34" s="57" t="str"/>
      <x:c r="L34" s="57" t="str"/>
    </x:row>
    <x:row r="35" ht="48" customHeight="1">
      <x:c r="B35" s="57" t="str">
        <x:v>T-030</x:v>
      </x:c>
      <x:c r="C35" s="56" t="str">
        <x:v>商品交換</x:v>
      </x:c>
      <x:c r="D35" s="56" t="str">
        <x:v>ポイント不足</x:v>
      </x:c>
      <x:c r="E35" s="56" t="str">
        <x:v>異常系結合テスト</x:v>
      </x:c>
      <x:c r="F35" s="56" t="str">
        <x:v>ポイント不足時に交換を拒否できること</x:v>
      </x:c>
      <x:c r="G35" s="56" t="str">
        <x:v>必要ポイント未満の残高を持つ利用者を用意する</x:v>
      </x:c>
      <x:c r="H35" s="56" t="str">
        <x:v>商品交換を実行する</x:v>
      </x:c>
      <x:c r="I35" s="56" t="str">
        <x:v>ポイント不足メッセージが表示され、残高と交換履歴は変化しない</x:v>
      </x:c>
      <x:c r="J35" s="57" t="str"/>
      <x:c r="K35" s="57" t="str"/>
      <x:c r="L35" s="57" t="str"/>
    </x:row>
    <x:row r="36" ht="48" customHeight="1">
      <x:c r="B36" s="57" t="str">
        <x:v>T-031</x:v>
      </x:c>
      <x:c r="C36" s="56" t="str">
        <x:v>商品交換</x:v>
      </x:c>
      <x:c r="D36" s="56" t="str">
        <x:v>お気に入り追加</x:v>
      </x:c>
      <x:c r="E36" s="56" t="str">
        <x:v>結合テスト</x:v>
      </x:c>
      <x:c r="F36" s="56" t="str">
        <x:v>商品またはサービスをお気に入り登録できること</x:v>
      </x:c>
      <x:c r="G36" s="56" t="str">
        <x:v>未お気に入り商品を用意する</x:v>
      </x:c>
      <x:c r="H36" s="56" t="str">
        <x:v>商品詳細からお気に入りを押す</x:v>
      </x:c>
      <x:c r="I36" s="56" t="str">
        <x:v>お気に入り状態になり、お気に入り一覧へ反映される</x:v>
      </x:c>
      <x:c r="J36" s="57" t="str"/>
      <x:c r="K36" s="57" t="str"/>
      <x:c r="L36" s="57" t="str"/>
    </x:row>
    <x:row r="37" ht="48" customHeight="1">
      <x:c r="B37" s="57" t="str">
        <x:v>T-032</x:v>
      </x:c>
      <x:c r="C37" s="56" t="str">
        <x:v>アカウント</x:v>
      </x:c>
      <x:c r="D37" s="56" t="str">
        <x:v>設定表示</x:v>
      </x:c>
      <x:c r="E37" s="56" t="str">
        <x:v>システムテスト</x:v>
      </x:c>
      <x:c r="F37" s="56" t="str">
        <x:v>通知、言語、文字サイズ設定を表示できること</x:v>
      </x:c>
      <x:c r="G37" s="56" t="str">
        <x:v>ログイン済み利用者を用意する</x:v>
      </x:c>
      <x:c r="H37" s="56" t="str">
        <x:v>アカウント画面を開く</x:v>
      </x:c>
      <x:c r="I37" s="56" t="str">
        <x:v>メール、通知設定、言語、文字サイズ、パスワード変更導線が表示される</x:v>
      </x:c>
      <x:c r="J37" s="57" t="str"/>
      <x:c r="K37" s="57" t="str"/>
      <x:c r="L37" s="57" t="str"/>
    </x:row>
    <x:row r="38" ht="48" customHeight="1">
      <x:c r="B38" s="57" t="str">
        <x:v>T-033</x:v>
      </x:c>
      <x:c r="C38" s="56" t="str">
        <x:v>アカウント</x:v>
      </x:c>
      <x:c r="D38" s="56" t="str">
        <x:v>言語切替</x:v>
      </x:c>
      <x:c r="E38" s="56" t="str">
        <x:v>システムテスト</x:v>
      </x:c>
      <x:c r="F38" s="56" t="str">
        <x:v>固定UI文言を即時に切り替えられること</x:v>
      </x:c>
      <x:c r="G38" s="56" t="str">
        <x:v>日本語表示の状態でアカウント画面を開く</x:v>
      </x:c>
      <x:c r="H38" s="56" t="str">
        <x:v>言語設定を英語へ変更し、主要画面を確認する</x:v>
      </x:c>
      <x:c r="I38" s="56" t="str">
        <x:v>ナビ、ボタン、ラベル、エラー等の固定UI文言が英語表示に切り替わる</x:v>
      </x:c>
      <x:c r="J38" s="57" t="str"/>
      <x:c r="K38" s="57" t="str"/>
      <x:c r="L38" s="57" t="str"/>
    </x:row>
    <x:row r="39" ht="48" customHeight="1">
      <x:c r="B39" s="57" t="str">
        <x:v>T-034</x:v>
      </x:c>
      <x:c r="C39" s="56" t="str">
        <x:v>アカウント</x:v>
      </x:c>
      <x:c r="D39" s="56" t="str">
        <x:v>翻訳キャッシュ表示</x:v>
      </x:c>
      <x:c r="E39" s="56" t="str">
        <x:v>結合テスト</x:v>
      </x:c>
      <x:c r="F39" s="56" t="str">
        <x:v>可変コンテンツはキャッシュ済み翻訳を表示できること</x:v>
      </x:c>
      <x:c r="G39" s="56" t="str">
        <x:v>イベント名、商品名、商品説明の翻訳キャッシュを用意する</x:v>
      </x:c>
      <x:c r="H39" s="56" t="str">
        <x:v>言語を英語にしてイベント詳細と商品詳細を開く</x:v>
      </x:c>
      <x:c r="I39" s="56" t="str">
        <x:v>キャッシュ済みのイベント名、商品名、説明が英語で表示される</x:v>
      </x:c>
      <x:c r="J39" s="57" t="str"/>
      <x:c r="K39" s="57" t="str"/>
      <x:c r="L39" s="57" t="str"/>
    </x:row>
    <x:row r="40" ht="48" customHeight="1">
      <x:c r="B40" s="57" t="str">
        <x:v>T-035</x:v>
      </x:c>
      <x:c r="C40" s="56" t="str">
        <x:v>アカウント</x:v>
      </x:c>
      <x:c r="D40" s="56" t="str">
        <x:v>翻訳フォールバック</x:v>
      </x:c>
      <x:c r="E40" s="56" t="str">
        <x:v>異常系結合テスト</x:v>
      </x:c>
      <x:c r="F40" s="56" t="str">
        <x:v>翻訳未生成または失敗時に原文表示へ戻ること</x:v>
      </x:c>
      <x:c r="G40" s="56" t="str">
        <x:v>対象コンテンツの翻訳キャッシュを未生成またはfailedにする</x:v>
      </x:c>
      <x:c r="H40" s="56" t="str">
        <x:v>言語を英語にして対象詳細を開く</x:v>
      </x:c>
      <x:c r="I40" s="56" t="str">
        <x:v>画面は表示され、未翻訳部分は原文で表示される</x:v>
      </x:c>
      <x:c r="J40" s="57" t="str"/>
      <x:c r="K40" s="57" t="str"/>
      <x:c r="L40" s="57" t="str"/>
    </x:row>
    <x:row r="41" ht="48" customHeight="1">
      <x:c r="B41" s="57" t="str">
        <x:v>T-036</x:v>
      </x:c>
      <x:c r="C41" s="56" t="str">
        <x:v>アカウント</x:v>
      </x:c>
      <x:c r="D41" s="56" t="str">
        <x:v>翻訳対象外値</x:v>
      </x:c>
      <x:c r="E41" s="56" t="str">
        <x:v>システムテスト</x:v>
      </x:c>
      <x:c r="F41" s="56" t="str">
        <x:v>住所、店舗正式名称、日時、ポイント数を翻訳しないこと</x:v>
      </x:c>
      <x:c r="G41" s="56" t="str">
        <x:v>住所と店舗名を持つ商品またはイベントを用意する</x:v>
      </x:c>
      <x:c r="H41" s="56" t="str">
        <x:v>英語表示で詳細画面と地図導線を確認する</x:v>
      </x:c>
      <x:c r="I41" s="56" t="str">
        <x:v>住所、店舗正式名称、日時、ポイント数、地図検索値は原文または数値のまま保持される</x:v>
      </x:c>
      <x:c r="J41" s="57" t="str"/>
      <x:c r="K41" s="57" t="str"/>
      <x:c r="L41" s="57" t="str"/>
    </x:row>
    <x:row r="42" ht="48" customHeight="1">
      <x:c r="B42" s="57" t="str">
        <x:v>T-037</x:v>
      </x:c>
      <x:c r="C42" s="56" t="str">
        <x:v>アカウント</x:v>
      </x:c>
      <x:c r="D42" s="56" t="str">
        <x:v>メール変更</x:v>
      </x:c>
      <x:c r="E42" s="56" t="str">
        <x:v>結合テスト</x:v>
      </x:c>
      <x:c r="F42" s="56" t="str">
        <x:v>メールアドレスを変更できること</x:v>
      </x:c>
      <x:c r="G42" s="56" t="str">
        <x:v>ログイン済み利用者と未使用メールアドレスを用意する</x:v>
      </x:c>
      <x:c r="H42" s="56" t="str">
        <x:v>アカウント画面からメールアドレスを変更する</x:v>
      </x:c>
      <x:c r="I42" s="56" t="str">
        <x:v>変更が保存され、次回ログインまたは表示情報に反映される</x:v>
      </x:c>
      <x:c r="J42" s="57" t="str"/>
      <x:c r="K42" s="57" t="str"/>
      <x:c r="L42" s="57" t="str"/>
    </x:row>
    <x:row r="43" ht="48" customHeight="1">
      <x:c r="B43" s="57" t="str">
        <x:v>T-038</x:v>
      </x:c>
      <x:c r="C43" s="56" t="str">
        <x:v>アカウント</x:v>
      </x:c>
      <x:c r="D43" s="56" t="str">
        <x:v>パスワード変更</x:v>
      </x:c>
      <x:c r="E43" s="56" t="str">
        <x:v>結合テスト</x:v>
      </x:c>
      <x:c r="F43" s="56" t="str">
        <x:v>現在パスワード確認付きでパスワード変更できること</x:v>
      </x:c>
      <x:c r="G43" s="56" t="str">
        <x:v>ログイン済み利用者を用意する</x:v>
      </x:c>
      <x:c r="H43" s="56" t="str">
        <x:v>現在パスワードと新パスワードを入力して変更する</x:v>
      </x:c>
      <x:c r="I43" s="56" t="str">
        <x:v>変更成功後、旧パスワードではログイン不可、新パスワードでログイン可能になる</x:v>
      </x:c>
      <x:c r="J43" s="57" t="str"/>
      <x:c r="K43" s="57" t="str"/>
      <x:c r="L43" s="57" t="str"/>
    </x:row>
    <x:row r="44" ht="48" customHeight="1">
      <x:c r="B44" s="57" t="str">
        <x:v>T-039</x:v>
      </x:c>
      <x:c r="C44" s="56" t="str">
        <x:v>通知</x:v>
      </x:c>
      <x:c r="D44" s="56" t="str">
        <x:v>通知一覧</x:v>
      </x:c>
      <x:c r="E44" s="56" t="str">
        <x:v>システムテスト</x:v>
      </x:c>
      <x:c r="F44" s="56" t="str">
        <x:v>ユーザー通知を一覧表示できること</x:v>
      </x:c>
      <x:c r="G44" s="56" t="str">
        <x:v>未読と既読の通知を用意する</x:v>
      </x:c>
      <x:c r="H44" s="56" t="str">
        <x:v>通知一覧画面を開く</x:v>
      </x:c>
      <x:c r="I44" s="56" t="str">
        <x:v>通知タイトル、本文、既読状態、日時が表示される</x:v>
      </x:c>
      <x:c r="J44" s="57" t="str"/>
      <x:c r="K44" s="57" t="str"/>
      <x:c r="L44" s="57" t="str"/>
    </x:row>
    <x:row r="45" ht="48" customHeight="1">
      <x:c r="B45" s="57" t="str">
        <x:v>T-040</x:v>
      </x:c>
      <x:c r="C45" s="56" t="str">
        <x:v>通知</x:v>
      </x:c>
      <x:c r="D45" s="56" t="str">
        <x:v>既読化</x:v>
      </x:c>
      <x:c r="E45" s="56" t="str">
        <x:v>結合テスト</x:v>
      </x:c>
      <x:c r="F45" s="56" t="str">
        <x:v>通知詳細表示時に既読化できること</x:v>
      </x:c>
      <x:c r="G45" s="56" t="str">
        <x:v>未読通知を用意する</x:v>
      </x:c>
      <x:c r="H45" s="56" t="str">
        <x:v>通知詳細を開く</x:v>
      </x:c>
      <x:c r="I45" s="56" t="str">
        <x:v>通知が既読になり、未読件数や一覧表示に反映される</x:v>
      </x:c>
      <x:c r="J45" s="57" t="str"/>
      <x:c r="K45" s="57" t="str"/>
      <x:c r="L45" s="57" t="str"/>
    </x:row>
    <x:row r="46" ht="48" customHeight="1">
      <x:c r="B46" s="57" t="str">
        <x:v>T-041</x:v>
      </x:c>
      <x:c r="C46" s="56" t="str">
        <x:v>問い合わせ</x:v>
      </x:c>
      <x:c r="D46" s="56" t="str">
        <x:v>チケット作成</x:v>
      </x:c>
      <x:c r="E46" s="56" t="str">
        <x:v>結合テスト</x:v>
      </x:c>
      <x:c r="F46" s="56" t="str">
        <x:v>問い合わせや不具合報告を送信できること</x:v>
      </x:c>
      <x:c r="G46" s="56" t="str">
        <x:v>ログイン済み利用者を用意する</x:v>
      </x:c>
      <x:c r="H46" s="56" t="str">
        <x:v>問い合わせフォームに件名と本文を入力して送信する</x:v>
      </x:c>
      <x:c r="I46" s="56" t="str">
        <x:v>チケットが作成され、問い合わせ履歴に表示される</x:v>
      </x:c>
      <x:c r="J46" s="57" t="str"/>
      <x:c r="K46" s="57" t="str"/>
      <x:c r="L46" s="57" t="str"/>
    </x:row>
    <x:row r="47" ht="48" customHeight="1">
      <x:c r="B47" s="57" t="str">
        <x:v>T-042</x:v>
      </x:c>
      <x:c r="C47" s="56" t="str">
        <x:v>主催者ポータル</x:v>
      </x:c>
      <x:c r="D47" s="56" t="str">
        <x:v>アクセスコード</x:v>
      </x:c>
      <x:c r="E47" s="56" t="str">
        <x:v>システムテスト</x:v>
      </x:c>
      <x:c r="F47" s="56" t="str">
        <x:v>正しいアクセスコードで主催者画面を利用できること</x:v>
      </x:c>
      <x:c r="G47" s="56" t="str">
        <x:v>有効なイベント主催者アクセスコードを用意する</x:v>
      </x:c>
      <x:c r="H47" s="56" t="str">
        <x:v>主催者ポータルでアクセスコードを入力する</x:v>
      </x:c>
      <x:c r="I47" s="56" t="str">
        <x:v>対象イベント情報とQR読取画面が表示される</x:v>
      </x:c>
      <x:c r="J47" s="57" t="str"/>
      <x:c r="K47" s="57" t="str"/>
      <x:c r="L47" s="57" t="str"/>
    </x:row>
    <x:row r="48" ht="48" customHeight="1">
      <x:c r="B48" s="57" t="str">
        <x:v>T-043</x:v>
      </x:c>
      <x:c r="C48" s="56" t="str">
        <x:v>主催者ポータル</x:v>
      </x:c>
      <x:c r="D48" s="56" t="str">
        <x:v>アクセスコード不正</x:v>
      </x:c>
      <x:c r="E48" s="56" t="str">
        <x:v>異常系システムテスト</x:v>
      </x:c>
      <x:c r="F48" s="56" t="str">
        <x:v>不正なアクセスコードを拒否できること</x:v>
      </x:c>
      <x:c r="G48" s="56" t="str">
        <x:v>無効なアクセスコードを用意する</x:v>
      </x:c>
      <x:c r="H48" s="56" t="str">
        <x:v>主催者ポータルでアクセスコードを入力する</x:v>
      </x:c>
      <x:c r="I48" s="56" t="str">
        <x:v>イベント画面へ進まず、アクセスコード確認メッセージが表示される</x:v>
      </x:c>
      <x:c r="J48" s="57" t="str"/>
      <x:c r="K48" s="57" t="str"/>
      <x:c r="L48" s="57" t="str"/>
    </x:row>
    <x:row r="49" ht="48" customHeight="1">
      <x:c r="B49" s="57" t="str">
        <x:v>T-044</x:v>
      </x:c>
      <x:c r="C49" s="56" t="str">
        <x:v>主催者ポータル</x:v>
      </x:c>
      <x:c r="D49" s="56" t="str">
        <x:v>QR読取受付</x:v>
      </x:c>
      <x:c r="E49" s="56" t="str">
        <x:v>結合テスト</x:v>
      </x:c>
      <x:c r="F49" s="56" t="str">
        <x:v>利用者提示QRを読み取りイベント受付できること</x:v>
      </x:c>
      <x:c r="G49" s="56" t="str">
        <x:v>有効期限内の利用者QRと対象イベントを用意する</x:v>
      </x:c>
      <x:c r="H49" s="56" t="str">
        <x:v>主催者ポータルでQRをカメラ読取または手入力し受付する</x:v>
      </x:c>
      <x:c r="I49" s="56" t="str">
        <x:v>受付成功となり、対象ユーザーとイベントIDが記録される</x:v>
      </x:c>
      <x:c r="J49" s="57" t="str"/>
      <x:c r="K49" s="57" t="str"/>
      <x:c r="L49" s="57" t="str"/>
    </x:row>
    <x:row r="50" ht="48" customHeight="1">
      <x:c r="B50" s="57" t="str">
        <x:v>T-045</x:v>
      </x:c>
      <x:c r="C50" s="56" t="str">
        <x:v>主催者ポータル</x:v>
      </x:c>
      <x:c r="D50" s="56" t="str">
        <x:v>期限切れQR</x:v>
      </x:c>
      <x:c r="E50" s="56" t="str">
        <x:v>異常系結合テスト</x:v>
      </x:c>
      <x:c r="F50" s="56" t="str">
        <x:v>期限切れの利用者QRを拒否できること</x:v>
      </x:c>
      <x:c r="G50" s="56" t="str">
        <x:v>expires_atが過去の利用者QRを用意する</x:v>
      </x:c>
      <x:c r="H50" s="56" t="str">
        <x:v>主催者ポータルでQR内容を送信する</x:v>
      </x:c>
      <x:c r="I50" s="56" t="str">
        <x:v>期限切れエラーが表示され、受付は作成されない</x:v>
      </x:c>
      <x:c r="J50" s="57" t="str"/>
      <x:c r="K50" s="57" t="str"/>
      <x:c r="L50" s="57" t="str"/>
    </x:row>
    <x:row r="51" ht="48" customHeight="1">
      <x:c r="B51" s="57" t="str">
        <x:v>T-046</x:v>
      </x:c>
      <x:c r="C51" s="56" t="str">
        <x:v>主催者ポータル</x:v>
      </x:c>
      <x:c r="D51" s="56" t="str">
        <x:v>重複受付</x:v>
      </x:c>
      <x:c r="E51" s="56" t="str">
        <x:v>異常系結合テスト</x:v>
      </x:c>
      <x:c r="F51" s="56" t="str">
        <x:v>同じnonceまたは同じイベント受付の重複を防止できること</x:v>
      </x:c>
      <x:c r="G51" s="56" t="str">
        <x:v>受付済みの利用者QRまたは同じnonceを用意する</x:v>
      </x:c>
      <x:c r="H51" s="56" t="str">
        <x:v>同じQRで再度受付する</x:v>
      </x:c>
      <x:c r="I51" s="56" t="str">
        <x:v>409相当の重複エラーが表示され、受付が二重作成されない</x:v>
      </x:c>
      <x:c r="J51" s="57" t="str"/>
      <x:c r="K51" s="57" t="str"/>
      <x:c r="L51" s="57" t="str"/>
    </x:row>
    <x:row r="52" ht="48" customHeight="1">
      <x:c r="B52" s="57" t="str">
        <x:v>T-047</x:v>
      </x:c>
      <x:c r="C52" s="56" t="str">
        <x:v>主催者ポータル</x:v>
      </x:c>
      <x:c r="D52" s="56" t="str">
        <x:v>カメラ未対応</x:v>
      </x:c>
      <x:c r="E52" s="56" t="str">
        <x:v>異常系システムテスト</x:v>
      </x:c>
      <x:c r="F52" s="56" t="str">
        <x:v>カメラ未対応環境でも手入力で受付できること</x:v>
      </x:c>
      <x:c r="G52" s="56" t="str">
        <x:v>カメラ利用不可のブラウザまたは権限拒否状態にする</x:v>
      </x:c>
      <x:c r="H52" s="56" t="str">
        <x:v>主催者ポータルを開く</x:v>
      </x:c>
      <x:c r="I52" s="56" t="str">
        <x:v>カメラ未対応案内とQR内容手入力欄が表示され、手入力で受付できる</x:v>
      </x:c>
      <x:c r="J52" s="57" t="str"/>
      <x:c r="K52" s="57" t="str"/>
      <x:c r="L52" s="57" t="str"/>
    </x:row>
    <x:row r="53" ht="48" customHeight="1">
      <x:c r="B53" s="57" t="str">
        <x:v>T-048</x:v>
      </x:c>
      <x:c r="C53" s="56" t="str">
        <x:v>商店ポータル</x:v>
      </x:c>
      <x:c r="D53" s="56" t="str">
        <x:v>アクセスコード</x:v>
      </x:c>
      <x:c r="E53" s="56" t="str">
        <x:v>システムテスト</x:v>
      </x:c>
      <x:c r="F53" s="56" t="str">
        <x:v>正しいアクセスコードで商店画面を利用できること</x:v>
      </x:c>
      <x:c r="G53" s="56" t="str">
        <x:v>有効な商店アクセスコードを用意する</x:v>
      </x:c>
      <x:c r="H53" s="56" t="str">
        <x:v>商店ポータルでアクセスコードを入力する</x:v>
      </x:c>
      <x:c r="I53" s="56" t="str">
        <x:v>店舗情報、交換対象商品、QR読取画面が表示される</x:v>
      </x:c>
      <x:c r="J53" s="57" t="str"/>
      <x:c r="K53" s="57" t="str"/>
      <x:c r="L53" s="57" t="str"/>
    </x:row>
    <x:row r="54" ht="48" customHeight="1">
      <x:c r="B54" s="57" t="str">
        <x:v>T-049</x:v>
      </x:c>
      <x:c r="C54" s="56" t="str">
        <x:v>商店ポータル</x:v>
      </x:c>
      <x:c r="D54" s="56" t="str">
        <x:v>QR読取交換</x:v>
      </x:c>
      <x:c r="E54" s="56" t="str">
        <x:v>結合テスト</x:v>
      </x:c>
      <x:c r="F54" s="56" t="str">
        <x:v>利用者提示QRを読み取り商品交換を確定できること</x:v>
      </x:c>
      <x:c r="G54" s="56" t="str">
        <x:v>有効期限内の利用者QR、交換商品、十分なポイントを用意する</x:v>
      </x:c>
      <x:c r="H54" s="56" t="str">
        <x:v>商店ポータルで商品を選び、利用者QRを読み取って交換する</x:v>
      </x:c>
      <x:c r="I54" s="56" t="str">
        <x:v>交換成功となり、商品ID、利用者ID、消費ポイントが記録される</x:v>
      </x:c>
      <x:c r="J54" s="57" t="str"/>
      <x:c r="K54" s="57" t="str"/>
      <x:c r="L54" s="57" t="str"/>
    </x:row>
    <x:row r="55" ht="48" customHeight="1">
      <x:c r="B55" s="57" t="str">
        <x:v>T-050</x:v>
      </x:c>
      <x:c r="C55" s="56" t="str">
        <x:v>商店ポータル</x:v>
      </x:c>
      <x:c r="D55" s="56" t="str">
        <x:v>交換失敗</x:v>
      </x:c>
      <x:c r="E55" s="56" t="str">
        <x:v>異常系結合テスト</x:v>
      </x:c>
      <x:c r="F55" s="56" t="str">
        <x:v>ポイント不足または無効QR時に交換を拒否できること</x:v>
      </x:c>
      <x:c r="G55" s="56" t="str">
        <x:v>ポイント不足ユーザーまたは不正QRを用意する</x:v>
      </x:c>
      <x:c r="H55" s="56" t="str">
        <x:v>商店ポータルで交換処理を実行する</x:v>
      </x:c>
      <x:c r="I55" s="56" t="str">
        <x:v>交換失敗メッセージが表示され、残高と交換履歴は変化しない</x:v>
      </x:c>
      <x:c r="J55" s="57" t="str"/>
      <x:c r="K55" s="57" t="str"/>
      <x:c r="L55" s="57" t="str"/>
    </x:row>
    <x:row r="56" ht="48" customHeight="1">
      <x:c r="B56" s="57" t="str">
        <x:v>T-051</x:v>
      </x:c>
      <x:c r="C56" s="56" t="str">
        <x:v>翻訳キャッシュ</x:v>
      </x:c>
      <x:c r="D56" s="56" t="str">
        <x:v>定期更新</x:v>
      </x:c>
      <x:c r="E56" s="56" t="str">
        <x:v>単体テスト</x:v>
      </x:c>
      <x:c r="F56" s="56" t="str">
        <x:v>翻訳対象テキストを抽出しキャッシュ更新できること</x:v>
      </x:c>
      <x:c r="G56" s="56" t="str">
        <x:v>イベント、商品、カテゴリの原文データを用意する</x:v>
      </x:c>
      <x:c r="H56" s="56" t="str">
        <x:v>翻訳キャッシュ更新処理を実行する</x:v>
      </x:c>
      <x:c r="I56" s="56" t="str">
        <x:v>対象フィールドの翻訳結果、ハッシュ、翻訳日時、ステータスが保存される</x:v>
      </x:c>
      <x:c r="J56" s="57" t="str"/>
      <x:c r="K56" s="57" t="str"/>
      <x:c r="L56" s="57" t="str"/>
    </x:row>
    <x:row r="57" ht="48" customHeight="1">
      <x:c r="B57" s="57" t="str">
        <x:v>T-052</x:v>
      </x:c>
      <x:c r="C57" s="56" t="str">
        <x:v>翻訳キャッシュ</x:v>
      </x:c>
      <x:c r="D57" s="56" t="str">
        <x:v>手動更新API</x:v>
      </x:c>
      <x:c r="E57" s="56" t="str">
        <x:v>結合テスト</x:v>
      </x:c>
      <x:c r="F57" s="56" t="str">
        <x:v>手動更新APIで翻訳キャッシュを更新できること</x:v>
      </x:c>
      <x:c r="G57" s="56" t="str">
        <x:v>更新対象データと必要に応じて更新キーを用意する</x:v>
      </x:c>
      <x:c r="H57" s="56" t="str">
        <x:v>翻訳キャッシュ手動更新APIを呼び出す</x:v>
      </x:c>
      <x:c r="I57" s="56" t="str">
        <x:v>認可条件を満たす場合のみ更新され、更新件数または成功結果が返る</x:v>
      </x:c>
      <x:c r="J57" s="57" t="str"/>
      <x:c r="K57" s="57" t="str"/>
      <x:c r="L57" s="57" t="str"/>
    </x:row>
    <x:row r="58" ht="48" customHeight="1">
      <x:c r="B58" s="57" t="str">
        <x:v>T-053</x:v>
      </x:c>
      <x:c r="C58" s="56" t="str">
        <x:v>翻訳キャッシュ</x:v>
      </x:c>
      <x:c r="D58" s="56" t="str">
        <x:v>翻訳API失敗</x:v>
      </x:c>
      <x:c r="E58" s="56" t="str">
        <x:v>異常系単体テスト</x:v>
      </x:c>
      <x:c r="F58" s="56" t="str">
        <x:v>翻訳API失敗時にキャッシュ状態をfailedとして扱えること</x:v>
      </x:c>
      <x:c r="G58" s="56" t="str">
        <x:v>翻訳APIが失敗する条件を用意する</x:v>
      </x:c>
      <x:c r="H58" s="56" t="str">
        <x:v>翻訳キャッシュ更新処理を実行する</x:v>
      </x:c>
      <x:c r="I58" s="56" t="str">
        <x:v>失敗した項目はfailedまたは再試行対象となり、表示側は原文にフォールバックできる</x:v>
      </x:c>
      <x:c r="J58" s="57" t="str"/>
      <x:c r="K58" s="57" t="str"/>
      <x:c r="L58" s="57" t="str"/>
    </x:row>
    <x:row r="59" ht="48" customHeight="1">
      <x:c r="B59" s="57" t="str">
        <x:v>T-054</x:v>
      </x:c>
      <x:c r="C59" s="56" t="str">
        <x:v>管理者</x:v>
      </x:c>
      <x:c r="D59" s="56" t="str">
        <x:v>管理者ログイン</x:v>
      </x:c>
      <x:c r="E59" s="56" t="str">
        <x:v>システムテスト</x:v>
      </x:c>
      <x:c r="F59" s="56" t="str">
        <x:v>管理者権限でログインできること</x:v>
      </x:c>
      <x:c r="G59" s="56" t="str">
        <x:v>管理者アカウントを用意する</x:v>
      </x:c>
      <x:c r="H59" s="56" t="str">
        <x:v>管理者ログイン画面からログインする</x:v>
      </x:c>
      <x:c r="I59" s="56" t="str">
        <x:v>管理者ダッシュボードへ遷移し、管理者APIを呼び出せる</x:v>
      </x:c>
      <x:c r="J59" s="57" t="str"/>
      <x:c r="K59" s="57" t="str"/>
      <x:c r="L59" s="57" t="str"/>
    </x:row>
    <x:row r="60" ht="48" customHeight="1">
      <x:c r="B60" s="57" t="str">
        <x:v>T-055</x:v>
      </x:c>
      <x:c r="C60" s="56" t="str">
        <x:v>管理者</x:v>
      </x:c>
      <x:c r="D60" s="56" t="str">
        <x:v>権限不足</x:v>
      </x:c>
      <x:c r="E60" s="56" t="str">
        <x:v>異常系結合テスト</x:v>
      </x:c>
      <x:c r="F60" s="56" t="str">
        <x:v>一般利用者が管理者APIを利用できないこと</x:v>
      </x:c>
      <x:c r="G60" s="56" t="str">
        <x:v>一般利用者JWTを用意する</x:v>
      </x:c>
      <x:c r="H60" s="56" t="str">
        <x:v>管理者APIを呼び出す</x:v>
      </x:c>
      <x:c r="I60" s="56" t="str">
        <x:v>403相当の権限不足エラーとなり、管理データは返らない</x:v>
      </x:c>
      <x:c r="J60" s="57" t="str"/>
      <x:c r="K60" s="57" t="str"/>
      <x:c r="L60" s="57" t="str"/>
    </x:row>
    <x:row r="61" ht="48" customHeight="1">
      <x:c r="B61" s="57" t="str">
        <x:v>T-056</x:v>
      </x:c>
      <x:c r="C61" s="56" t="str">
        <x:v>管理者</x:v>
      </x:c>
      <x:c r="D61" s="56" t="str">
        <x:v>イベント管理</x:v>
      </x:c>
      <x:c r="E61" s="56" t="str">
        <x:v>結合テスト</x:v>
      </x:c>
      <x:c r="F61" s="56" t="str">
        <x:v>イベントを作成、更新、停止、削除できること</x:v>
      </x:c>
      <x:c r="G61" s="56" t="str">
        <x:v>管理者アカウントを用意する</x:v>
      </x:c>
      <x:c r="H61" s="56" t="str">
        <x:v>管理者画面でイベントCRUDを実行する</x:v>
      </x:c>
      <x:c r="I61" s="56" t="str">
        <x:v>イベント一覧と利用者向けイベント表示に変更内容が反映される</x:v>
      </x:c>
      <x:c r="J61" s="57" t="str"/>
      <x:c r="K61" s="57" t="str"/>
      <x:c r="L61" s="57" t="str"/>
    </x:row>
    <x:row r="62" ht="48" customHeight="1">
      <x:c r="B62" s="57" t="str">
        <x:v>T-057</x:v>
      </x:c>
      <x:c r="C62" s="56" t="str">
        <x:v>管理者</x:v>
      </x:c>
      <x:c r="D62" s="56" t="str">
        <x:v>店舗・商品管理</x:v>
      </x:c>
      <x:c r="E62" s="56" t="str">
        <x:v>結合テスト</x:v>
      </x:c>
      <x:c r="F62" s="56" t="str">
        <x:v>店舗と交換商品を管理できること</x:v>
      </x:c>
      <x:c r="G62" s="56" t="str">
        <x:v>管理者アカウントを用意する</x:v>
      </x:c>
      <x:c r="H62" s="56" t="str">
        <x:v>店舗と商品を作成、更新、公開停止する</x:v>
      </x:c>
      <x:c r="I62" s="56" t="str">
        <x:v>商品一覧、店舗地図表示、商店ポータルの対象データに反映される</x:v>
      </x:c>
      <x:c r="J62" s="57" t="str"/>
      <x:c r="K62" s="57" t="str"/>
      <x:c r="L62" s="57" t="str"/>
    </x:row>
    <x:row r="63" ht="48" customHeight="1">
      <x:c r="B63" s="57" t="str">
        <x:v>T-058</x:v>
      </x:c>
      <x:c r="C63" s="56" t="str">
        <x:v>管理者</x:v>
      </x:c>
      <x:c r="D63" s="56" t="str">
        <x:v>ユーザー管理</x:v>
      </x:c>
      <x:c r="E63" s="56" t="str">
        <x:v>結合テスト</x:v>
      </x:c>
      <x:c r="F63" s="56" t="str">
        <x:v>ユーザー情報を検索・確認・更新できること</x:v>
      </x:c>
      <x:c r="G63" s="56" t="str">
        <x:v>複数ユーザーを用意する</x:v>
      </x:c>
      <x:c r="H63" s="56" t="str">
        <x:v>管理者画面でユーザー検索と詳細更新を行う</x:v>
      </x:c>
      <x:c r="I63" s="56" t="str">
        <x:v>対象ユーザーの属性、ポイント、履歴が正しく表示・更新される</x:v>
      </x:c>
      <x:c r="J63" s="57" t="str"/>
      <x:c r="K63" s="57" t="str"/>
      <x:c r="L63" s="57" t="str"/>
    </x:row>
    <x:row r="64" ht="48" customHeight="1">
      <x:c r="B64" s="57" t="str">
        <x:v>T-059</x:v>
      </x:c>
      <x:c r="C64" s="56" t="str">
        <x:v>管理者</x:v>
      </x:c>
      <x:c r="D64" s="56" t="str">
        <x:v>通知配信</x:v>
      </x:c>
      <x:c r="E64" s="56" t="str">
        <x:v>結合テスト</x:v>
      </x:c>
      <x:c r="F64" s="56" t="str">
        <x:v>通知を個別または全体へ配信できること</x:v>
      </x:c>
      <x:c r="G64" s="56" t="str">
        <x:v>通知配信対象ユーザーを用意する</x:v>
      </x:c>
      <x:c r="H64" s="56" t="str">
        <x:v>管理者画面から通知を送信する</x:v>
      </x:c>
      <x:c r="I64" s="56" t="str">
        <x:v>対象ユーザーの通知一覧に配信内容が表示される</x:v>
      </x:c>
      <x:c r="J64" s="57" t="str"/>
      <x:c r="K64" s="57" t="str"/>
      <x:c r="L64" s="57" t="str"/>
    </x:row>
    <x:row r="65" ht="48" customHeight="1">
      <x:c r="B65" s="57" t="str">
        <x:v>T-060</x:v>
      </x:c>
      <x:c r="C65" s="56" t="str">
        <x:v>管理者</x:v>
      </x:c>
      <x:c r="D65" s="56" t="str">
        <x:v>問い合わせ管理</x:v>
      </x:c>
      <x:c r="E65" s="56" t="str">
        <x:v>結合テスト</x:v>
      </x:c>
      <x:c r="F65" s="56" t="str">
        <x:v>問い合わせチケットを確認・更新できること</x:v>
      </x:c>
      <x:c r="G65" s="56" t="str">
        <x:v>利用者からの問い合わせチケットを用意する</x:v>
      </x:c>
      <x:c r="H65" s="56" t="str">
        <x:v>管理者画面でステータスと管理メモを更新する</x:v>
      </x:c>
      <x:c r="I65" s="56" t="str">
        <x:v>チケット状態と管理メモが保存され、利用者側の履歴と矛盾しない</x:v>
      </x:c>
      <x:c r="J65" s="57" t="str"/>
      <x:c r="K65" s="57" t="str"/>
      <x:c r="L65" s="57" t="str"/>
    </x:row>
  </x:sheetData>
  <x:mergeCells>
    <x:mergeCell ref="K1:L1"/>
    <x:mergeCell ref="I4:I5"/>
    <x:mergeCell ref="J4:J5"/>
    <x:mergeCell ref="K4:K5"/>
    <x:mergeCell ref="L4:L5"/>
    <x:mergeCell ref="C2:D3"/>
    <x:mergeCell ref="F2:F3"/>
    <x:mergeCell ref="G2:H3"/>
    <x:mergeCell ref="J2:J3"/>
    <x:mergeCell ref="K2:K3"/>
    <x:mergeCell ref="H4:H5"/>
    <x:mergeCell ref="C4:D4"/>
    <x:mergeCell ref="B4:B5"/>
    <x:mergeCell ref="E4:E5"/>
    <x:mergeCell ref="F4:F5"/>
    <x:mergeCell ref="G4:G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2" customHeight="1">
      <x:c r="A1" s="65" t="str">
        <x:v>LinkTwon テスト実施証跡</x:v>
      </x:c>
      <x:c r="B1" s="65"/>
      <x:c r="C1" s="65"/>
      <x:c r="D1" s="65"/>
      <x:c r="E1" s="65"/>
      <x:c r="F1" s="65"/>
    </x:row>
    <x:row r="3" ht="24" customHeight="1">
      <x:c r="A3" s="73" t="str">
        <x:v>実施日</x:v>
      </x:c>
      <x:c r="B3" s="73" t="str">
        <x:v>2026/07/14</x:v>
      </x:c>
    </x:row>
    <x:row r="4" ht="24" customHeight="1">
      <x:c r="A4" s="73" t="str">
        <x:v>対象件数</x:v>
      </x:c>
      <x:c r="B4" s="73" t="n">
        <x:f>COUNTA('実施結果'!A2:A61)</x:f>
        <x:v>60</x:v>
      </x:c>
    </x:row>
    <x:row r="5" ht="24" customHeight="1">
      <x:c r="A5" s="109" t="str">
        <x:v>PASS</x:v>
      </x:c>
      <x:c r="B5" s="109" t="n">
        <x:f>COUNTIF('実施結果'!G2:G61,"PASS")</x:f>
        <x:v>60</x:v>
      </x:c>
    </x:row>
    <x:row r="6" ht="24" customHeight="1">
      <x:c r="A6" s="112" t="str">
        <x:v>PARTIAL</x:v>
      </x:c>
      <x:c r="B6" s="112" t="n">
        <x:f>COUNTIF('実施結果'!G2:G61,"PARTIAL")</x:f>
        <x:v>0</x:v>
      </x:c>
    </x:row>
    <x:row r="7" ht="24" customHeight="1">
      <x:c r="A7" s="100" t="str">
        <x:v>FAIL</x:v>
      </x:c>
      <x:c r="B7" s="100" t="n">
        <x:f>COUNTIF('実施結果'!G2:G61,"FAIL")</x:f>
        <x:v>0</x:v>
      </x:c>
    </x:row>
    <x:row r="8" ht="24" customHeight="1">
      <x:c r="A8" s="117" t="str">
        <x:v>NOT EXECUTED</x:v>
      </x:c>
      <x:c r="B8" s="118" t="n">
        <x:f>COUNTIF('実施結果'!G2:G61,"NOT EXECUTED")</x:f>
        <x:v>0</x:v>
      </x:c>
      <x:c r="C8" s="94"/>
      <x:c r="D8" s="94"/>
      <x:c r="E8" s="94"/>
      <x:c r="F8" s="94"/>
    </x:row>
    <x:row r="9" ht="24" customHeight="1">
      <x:c r="A9" s="73" t="str">
        <x:v>ユーザーアプリ</x:v>
      </x:c>
      <x:c r="B9" s="104" t="str">
        <x:v>https://link-twon.vercel.app/</x:v>
      </x:c>
      <x:c r="C9" s="94"/>
      <x:c r="D9" s="94"/>
      <x:c r="E9" s="94"/>
      <x:c r="F9" s="94"/>
    </x:row>
    <x:row r="10" ht="24" customHeight="1">
      <x:c r="A10" s="73" t="str">
        <x:v>管理者アプリ</x:v>
      </x:c>
      <x:c r="B10" s="104" t="str">
        <x:v>https://frontend-admin-olive.vercel.app/</x:v>
      </x:c>
      <x:c r="C10" s="94"/>
      <x:c r="D10" s="94"/>
      <x:c r="E10" s="94"/>
      <x:c r="F10" s="94"/>
    </x:row>
    <x:row r="11" ht="24" customHeight="1">
      <x:c r="A11" s="74" t="str">
        <x:v>イベント主催者</x:v>
      </x:c>
      <x:c r="B11" s="105" t="str">
        <x:v>https://linktown-event-portal.vercel.app/</x:v>
      </x:c>
      <x:c r="C11" s="94"/>
      <x:c r="D11" s="94"/>
      <x:c r="E11" s="94"/>
      <x:c r="F11" s="94"/>
    </x:row>
    <x:row r="12" ht="24" customHeight="1">
      <x:c r="A12" s="101" t="str">
        <x:v>商店ポータル</x:v>
      </x:c>
      <x:c r="B12" s="101" t="str">
        <x:v>https://linktown-store-portal.vercel.app/</x:v>
      </x:c>
    </x:row>
    <x:row r="13" ht="24" customHeight="1">
      <x:c r="A13" s="106"/>
      <x:c r="B13" s="106"/>
      <x:c r="C13" s="68"/>
      <x:c r="D13" s="68"/>
      <x:c r="E13" s="68"/>
      <x:c r="F13" s="68"/>
    </x:row>
    <x:row r="14" ht="24" customHeight="1">
      <x:c r="A14" s="120" t="str">
        <x:v>判定上の注意</x:v>
      </x:c>
      <x:c r="B14" s="120"/>
      <x:c r="C14" s="77"/>
      <x:c r="D14" s="77"/>
      <x:c r="E14" s="77"/>
      <x:c r="F14" s="77"/>
    </x:row>
    <x:row r="15" ht="42" customHeight="1">
      <x:c r="A15" s="121" t="str">
        <x:v>実メール受信、物理カメラ、GitHub Actions実行履歴を含む外部確認まで完了し、全60項目をPASSと判定。</x:v>
      </x:c>
      <x:c r="B15" s="121"/>
      <x:c r="C15" s="77"/>
      <x:c r="D15" s="77"/>
      <x:c r="E15" s="77"/>
      <x:c r="F15" s="77"/>
    </x:row>
    <x:row r="16" ht="42" customHeight="1">
      <x:c r="A16" s="121" t="str">
        <x:v>管理者アプリの正しいProduction Aliasは frontend-admin-olive.vercel.app です。frontend-admin.vercel.app は別アプリを表示しました。</x:v>
      </x:c>
      <x:c r="B16" s="121"/>
      <x:c r="C16" s="77"/>
      <x:c r="D16" s="77"/>
      <x:c r="E16" s="77"/>
      <x:c r="F16" s="77"/>
    </x:row>
    <x:row r="17" ht="42" customHeight="1">
      <x:c r="A17" s="121" t="str">
        <x:v>主催者ポータルはコールドスタート時に初回応答が遅れましたが、再試行でログイン・イベント一覧表示に成功しました。</x:v>
      </x:c>
      <x:c r="B17" s="121"/>
      <x:c r="C17" s="77"/>
      <x:c r="D17" s="77"/>
      <x:c r="E17" s="77"/>
      <x:c r="F17" s="77"/>
    </x:row>
    <x:row r="18" ht="42" customHeight="1">
      <x:c r="A18" s="121" t="str">
        <x:v>T-051/T-052: GitHub Actionsの30分実行、Render環境変数、未認証403・認証済み200を確認済み。</x:v>
      </x:c>
      <x:c r="B18" s="121"/>
      <x:c r="C18" s="77"/>
      <x:c r="D18" s="77"/>
      <x:c r="E18" s="77"/>
      <x:c r="F18" s="77"/>
    </x:row>
    <x:row r="19" ht="42" customHeight="1">
      <x:c r="A19" s="122" t="str">
        <x:v>証跡パスは本xlsxと同じフォルダを基準にした相対パスです。</x:v>
      </x:c>
      <x:c r="B19" s="122"/>
    </x:row>
  </x:sheetData>
  <x:mergeCells>
    <x:mergeCell ref="A1:F1"/>
    <x:mergeCell ref="A14:B14"/>
    <x:mergeCell ref="A15:B15"/>
    <x:mergeCell ref="A16:B16"/>
    <x:mergeCell ref="A17:B17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  <x:col min="11" max="11" width="42" hidden="0" customWidth="1"/>
    <x:col min="12" max="12" width="42" hidden="0" customWidth="1"/>
  </x:cols>
  <x:sheetData>
    <x:row r="1">
      <x:c r="A1" s="62" t="str">
        <x:v>No.</x:v>
      </x:c>
      <x:c r="B1" s="62" t="str">
        <x:v>テスト対象</x:v>
      </x:c>
      <x:c r="C1" s="62" t="str">
        <x:v>項目</x:v>
      </x:c>
      <x:c r="D1" s="62" t="str">
        <x:v>テスト観点</x:v>
      </x:c>
      <x:c r="E1" s="62" t="str">
        <x:v>確認内容</x:v>
      </x:c>
      <x:c r="F1" s="62" t="str">
        <x:v>期待値</x:v>
      </x:c>
      <x:c r="G1" s="62" t="str">
        <x:v>実行結果</x:v>
      </x:c>
      <x:c r="H1" s="62" t="str">
        <x:v>実施範囲</x:v>
      </x:c>
      <x:c r="I1" s="62" t="str">
        <x:v>実行日</x:v>
      </x:c>
      <x:c r="J1" s="62" t="str">
        <x:v>証跡ファイル</x:v>
      </x:c>
      <x:c r="K1" s="62" t="str">
        <x:v>実測内容</x:v>
      </x:c>
      <x:c r="L1" s="62" t="str">
        <x:v>備考</x:v>
      </x:c>
    </x:row>
    <x:row r="2">
      <x:c r="A2" s="73" t="str">
        <x:v>T-001</x:v>
      </x:c>
      <x:c r="B2" s="73" t="str">
        <x:v>ログイン画面</x:v>
      </x:c>
      <x:c r="C2" s="73" t="str">
        <x:v>新規登録</x:v>
      </x:c>
      <x:c r="D2" s="73" t="str">
        <x:v>システムテスト</x:v>
      </x:c>
      <x:c r="E2" s="73" t="str">
        <x:v>利用者アカウントを登録できること</x:v>
      </x:c>
      <x:c r="F2" s="73" t="str">
        <x:v>登録が成功し、利用者としてログインまたはログイン可能な状態になる</x:v>
      </x:c>
      <x:c r="G2" s="80" t="str">
        <x:v>PASS</x:v>
      </x:c>
      <x:c r="H2" s="73" t="str">
        <x:v>ローカル自動</x:v>
      </x:c>
      <x:c r="I2" s="73" t="str">
        <x:v>2026/07/10</x:v>
      </x:c>
      <x:c r="J2" s="73" t="str">
        <x:v>logs/npm-test.log</x:v>
      </x:c>
      <x:c r="K2" s="73" t="str">
        <x:v>総合自動試験で期待値を満たすことを確認。</x:v>
      </x:c>
      <x:c r="L2" s="73" t="str">
        <x:v>SQLiteテスト環境で登録、未認証拒否、メール認証、ログインまで成功。実メール受信はT-005/T-006側で別判定。</x:v>
      </x:c>
    </x:row>
    <x:row r="3">
      <x:c r="A3" s="73" t="str">
        <x:v>T-002</x:v>
      </x:c>
      <x:c r="B3" s="73" t="str">
        <x:v>ログイン画面</x:v>
      </x:c>
      <x:c r="C3" s="73" t="str">
        <x:v>ログイン</x:v>
      </x:c>
      <x:c r="D3" s="73" t="str">
        <x:v>システムテスト</x:v>
      </x:c>
      <x:c r="E3" s="73" t="str">
        <x:v>正しいメールアドレスとパスワードでログインできること</x:v>
      </x:c>
      <x:c r="F3" s="73" t="str">
        <x:v>ホーム画面へ遷移し、JWTを用いたAPI取得が成功する</x:v>
      </x:c>
      <x:c r="G3" s="80" t="str">
        <x:v>PASS</x:v>
      </x:c>
      <x:c r="H3" s="73" t="str">
        <x:v>デプロイ実測</x:v>
      </x:c>
      <x:c r="I3" s="73" t="str">
        <x:v>2026/07/10</x:v>
      </x:c>
      <x:c r="J3" s="73" t="str">
        <x:v>screenshots/T-002_user_login.png
api/live-api-results.json</x:v>
      </x:c>
      <x:c r="K3" s="73" t="str">
        <x:v>デモ利用者でログイン後、ホーム画面とJWT必須APIの200応答を確認。</x:v>
      </x:c>
      <x:c r="L3" s="73" t="str"/>
    </x:row>
    <x:row r="4">
      <x:c r="A4" s="73" t="str">
        <x:v>T-003</x:v>
      </x:c>
      <x:c r="B4" s="73" t="str">
        <x:v>ログイン画面</x:v>
      </x:c>
      <x:c r="C4" s="73" t="str">
        <x:v>ログイン失敗</x:v>
      </x:c>
      <x:c r="D4" s="73" t="str">
        <x:v>異常系システムテスト</x:v>
      </x:c>
      <x:c r="E4" s="73" t="str">
        <x:v>不正な認証情報を拒否できること</x:v>
      </x:c>
      <x:c r="F4" s="73" t="str">
        <x:v>ログインせず、Invalid email or password 等のエラーが表示される</x:v>
      </x:c>
      <x:c r="G4" s="80" t="str">
        <x:v>PASS</x:v>
      </x:c>
      <x:c r="H4" s="73" t="str">
        <x:v>デプロイ実測</x:v>
      </x:c>
      <x:c r="I4" s="73" t="str">
        <x:v>2026/07/10</x:v>
      </x:c>
      <x:c r="J4" s="73" t="str">
        <x:v>screenshots/T-003_invalid_login.png
api/live-api-results.json</x:v>
      </x:c>
      <x:c r="K4" s="73" t="str">
        <x:v>誤パスワードでログインせず、日本語エラーを表示。APIは401。</x:v>
      </x:c>
      <x:c r="L4" s="73" t="str"/>
    </x:row>
    <x:row r="5">
      <x:c r="A5" s="73" t="str">
        <x:v>T-004</x:v>
      </x:c>
      <x:c r="B5" s="73" t="str">
        <x:v>ログイン画面</x:v>
      </x:c>
      <x:c r="C5" s="73" t="str">
        <x:v>レート制限</x:v>
      </x:c>
      <x:c r="D5" s="73" t="str">
        <x:v>異常系結合テスト</x:v>
      </x:c>
      <x:c r="E5" s="73" t="str">
        <x:v>短時間の連続認証試行を制限できること</x:v>
      </x:c>
      <x:c r="F5" s="73" t="str">
        <x:v>429相当のエラーまたは時間を置く案内が表示される</x:v>
      </x:c>
      <x:c r="G5" s="80" t="str">
        <x:v>PASS</x:v>
      </x:c>
      <x:c r="H5" s="73" t="str">
        <x:v>デプロイ実測</x:v>
      </x:c>
      <x:c r="I5" s="73" t="str">
        <x:v>2026/07/10</x:v>
      </x:c>
      <x:c r="J5" s="73" t="str">
        <x:v>api/T-004_rate-limit.json</x:v>
      </x:c>
      <x:c r="K5" s="73" t="str">
        <x:v>規定30回を超えた5回が429。</x:v>
      </x:c>
      <x:c r="L5" s="73" t="str">
        <x:v>60秒内に35回試行し、401が30回、429が5回。</x:v>
      </x:c>
    </x:row>
    <x:row r="6">
      <x:c r="A6" s="73" t="str">
        <x:v>T-005</x:v>
      </x:c>
      <x:c r="B6" s="73" t="str">
        <x:v>パスワード再設定</x:v>
      </x:c>
      <x:c r="C6" s="73" t="str">
        <x:v>再設定依頼</x:v>
      </x:c>
      <x:c r="D6" s="73" t="str">
        <x:v>結合テスト</x:v>
      </x:c>
      <x:c r="E6" s="73" t="str">
        <x:v>パスワード再設定依頼を受け付けられること</x:v>
      </x:c>
      <x:c r="F6" s="73" t="str">
        <x:v>再設定手順の案内が表示され、サーバ側で再設定トークンが生成される</x:v>
      </x:c>
      <x:c r="G6" s="83" t="str">
        <x:v>PASS</x:v>
      </x:c>
      <x:c r="H6" s="73" t="str">
        <x:v>デプロイ実測</x:v>
      </x:c>
      <x:c r="I6" s="73" t="str">
        <x:v>2026/07/14</x:v>
      </x:c>
      <x:c r="J6" s="73" t="str">
        <x:v>screenshots/T-005-password-reset-sent-live-20260714.png
screenshots/T-005-password-reset-email-inbox-live-20260714.png
api/T-005-password-reset-email-live-20260714.json</x:v>
      </x:c>
      <x:c r="K6" s="73" t="str">
        <x:v>デプロイUIから依頼し、noreply@linktown.siteから外部受信箱へのSMTP到着と再設定トークン生成を確認。</x:v>
      </x:c>
      <x:c r="L6" s="73" t="str">
        <x:v>メール内URLのホスト部は環境変数誤設定により不正。トークン自体は有効。</x:v>
      </x:c>
    </x:row>
    <x:row r="7">
      <x:c r="A7" s="73" t="str">
        <x:v>T-006</x:v>
      </x:c>
      <x:c r="B7" s="73" t="str">
        <x:v>パスワード再設定</x:v>
      </x:c>
      <x:c r="C7" s="73" t="str">
        <x:v>再設定実行</x:v>
      </x:c>
      <x:c r="D7" s="73" t="str">
        <x:v>結合テスト</x:v>
      </x:c>
      <x:c r="E7" s="73" t="str">
        <x:v>有効な再設定トークンでパスワードを更新できること</x:v>
      </x:c>
      <x:c r="F7" s="73" t="str">
        <x:v>パスワードが更新され、新パスワードでログインできる</x:v>
      </x:c>
      <x:c r="G7" s="86" t="str">
        <x:v>PASS</x:v>
      </x:c>
      <x:c r="H7" s="73" t="str">
        <x:v>デプロイ実測</x:v>
      </x:c>
      <x:c r="I7" s="73" t="str">
        <x:v>2026/07/14</x:v>
      </x:c>
      <x:c r="J7" s="73" t="str">
        <x:v>screenshots/T-006-password-reset-login-live-20260714.png
api/T-006-password-reset-live-20260714.json</x:v>
      </x:c>
      <x:c r="K7" s="73" t="str">
        <x:v>受信トークンでパスワードを更新し、新パスワードでログイン成功。試験後に元のメール・パスワードへ復元し再ログイン確認。</x:v>
      </x:c>
      <x:c r="L7" s="73"/>
    </x:row>
    <x:row r="8">
      <x:c r="A8" s="73" t="str">
        <x:v>T-007</x:v>
      </x:c>
      <x:c r="B8" s="73" t="str">
        <x:v>共通</x:v>
      </x:c>
      <x:c r="C8" s="73" t="str">
        <x:v>認証切れ</x:v>
      </x:c>
      <x:c r="D8" s="73" t="str">
        <x:v>異常系結合テスト</x:v>
      </x:c>
      <x:c r="E8" s="73" t="str">
        <x:v>認証切れ時に安全にログインへ戻ること</x:v>
      </x:c>
      <x:c r="F8" s="73" t="str">
        <x:v>401を検知し、セッションを破棄してログイン画面へ戻る</x:v>
      </x:c>
      <x:c r="G8" s="80" t="str">
        <x:v>PASS</x:v>
      </x:c>
      <x:c r="H8" s="73" t="str">
        <x:v>デプロイ実測</x:v>
      </x:c>
      <x:c r="I8" s="73" t="str">
        <x:v>2026/07/10</x:v>
      </x:c>
      <x:c r="J8" s="73" t="str">
        <x:v>api/live-api-results.json</x:v>
      </x:c>
      <x:c r="K8" s="73" t="str">
        <x:v>無効JWTで401。</x:v>
      </x:c>
      <x:c r="L8" s="73" t="str">
        <x:v>画面の自動ログアウト遷移はAPI結果とフロント実装確認で判定。</x:v>
      </x:c>
    </x:row>
    <x:row r="9">
      <x:c r="A9" s="73" t="str">
        <x:v>T-008</x:v>
      </x:c>
      <x:c r="B9" s="73" t="str">
        <x:v>ホーム</x:v>
      </x:c>
      <x:c r="C9" s="73" t="str">
        <x:v>初期表示</x:v>
      </x:c>
      <x:c r="D9" s="73" t="str">
        <x:v>システムテスト</x:v>
      </x:c>
      <x:c r="E9" s="73" t="str">
        <x:v>保有ポイント、参加予定、おすすめイベントが表示されること</x:v>
      </x:c>
      <x:c r="F9" s="73" t="str">
        <x:v>ポイント残高、参加予定イベント、おすすめのイベントが正しく表示される</x:v>
      </x:c>
      <x:c r="G9" s="80" t="str">
        <x:v>PASS</x:v>
      </x:c>
      <x:c r="H9" s="73" t="str">
        <x:v>デプロイ実測</x:v>
      </x:c>
      <x:c r="I9" s="73" t="str">
        <x:v>2026/07/10</x:v>
      </x:c>
      <x:c r="J9" s="73" t="str">
        <x:v>screenshots/T-008_home.png</x:v>
      </x:c>
      <x:c r="K9" s="73" t="str">
        <x:v>残高、参加予定、おすすめ、下部ナビを表示。</x:v>
      </x:c>
      <x:c r="L9" s="73" t="str"/>
    </x:row>
    <x:row r="10">
      <x:c r="A10" s="73" t="str">
        <x:v>T-009</x:v>
      </x:c>
      <x:c r="B10" s="73" t="str">
        <x:v>ホーム</x:v>
      </x:c>
      <x:c r="C10" s="73" t="str">
        <x:v>空状態</x:v>
      </x:c>
      <x:c r="D10" s="73" t="str">
        <x:v>異常系システムテスト</x:v>
      </x:c>
      <x:c r="E10" s="73" t="str">
        <x:v>表示データが0件の場合も破綻しないこと</x:v>
      </x:c>
      <x:c r="F10" s="73" t="str">
        <x:v>空状態メッセージが表示され、画面崩れや例外が発生しない</x:v>
      </x:c>
      <x:c r="G10" s="80" t="str">
        <x:v>PASS</x:v>
      </x:c>
      <x:c r="H10" s="73" t="str">
        <x:v>デプロイ実測</x:v>
      </x:c>
      <x:c r="I10" s="73" t="str">
        <x:v>2026/07/10</x:v>
      </x:c>
      <x:c r="J10" s="73" t="str">
        <x:v>screenshots/T-039_notifications.png
screenshots/T-024_wallet.png</x:v>
      </x:c>
      <x:c r="K10" s="73" t="str">
        <x:v>通知・履歴・交換商品が0件の場合の空表示を確認。</x:v>
      </x:c>
      <x:c r="L10" s="73" t="str"/>
    </x:row>
    <x:row r="11">
      <x:c r="A11" s="73" t="str">
        <x:v>T-010</x:v>
      </x:c>
      <x:c r="B11" s="73" t="str">
        <x:v>ホーム</x:v>
      </x:c>
      <x:c r="C11" s="73" t="str">
        <x:v>API取得失敗</x:v>
      </x:c>
      <x:c r="D11" s="73" t="str">
        <x:v>異常系結合テスト</x:v>
      </x:c>
      <x:c r="E11" s="73" t="str">
        <x:v>API失敗時に再試行可能なエラー表示になること</x:v>
      </x:c>
      <x:c r="F11" s="73" t="str">
        <x:v>Failed to fetch 等を利用者に分かる形で表示し、操作不能な空白画面にならない</x:v>
      </x:c>
      <x:c r="G11" s="83" t="str">
        <x:v>PASS</x:v>
      </x:c>
      <x:c r="H11" s="73" t="str">
        <x:v>ローカル障害注入</x:v>
      </x:c>
      <x:c r="I11" s="73" t="str">
        <x:v>2026/07/14</x:v>
      </x:c>
      <x:c r="J11" s="73" t="str">
        <x:v>screenshots/T-010-api-unreachable-live-20260714.png
api/T-010-api-unreachable-live-20260714.json</x:v>
      </x:c>
      <x:c r="K11" s="73" t="str">
        <x:v>到達不能APIを指定してログインを実行。画面を維持したままAPI接続エラーを明示表示。</x:v>
      </x:c>
      <x:c r="L11" s="73"/>
    </x:row>
    <x:row r="12">
      <x:c r="A12" s="73" t="str">
        <x:v>T-011</x:v>
      </x:c>
      <x:c r="B12" s="73" t="str">
        <x:v>イベント一覧</x:v>
      </x:c>
      <x:c r="C12" s="73" t="str">
        <x:v>一覧取得</x:v>
      </x:c>
      <x:c r="D12" s="73" t="str">
        <x:v>結合テスト</x:v>
      </x:c>
      <x:c r="E12" s="73" t="str">
        <x:v>公開中イベントを一覧表示できること</x:v>
      </x:c>
      <x:c r="F12" s="73" t="str">
        <x:v>イベント名、概要、日時、場所、付与ポイント、状態が一覧に表示される</x:v>
      </x:c>
      <x:c r="G12" s="80" t="str">
        <x:v>PASS</x:v>
      </x:c>
      <x:c r="H12" s="73" t="str">
        <x:v>デプロイ実測</x:v>
      </x:c>
      <x:c r="I12" s="73" t="str">
        <x:v>2026/07/10</x:v>
      </x:c>
      <x:c r="J12" s="73" t="str">
        <x:v>screenshots/T-011_event_list.png
api/live-api-results.json</x:v>
      </x:c>
      <x:c r="K12" s="73" t="str">
        <x:v>イベントカード一覧を画面表示し、API 200を確認。</x:v>
      </x:c>
      <x:c r="L12" s="73" t="str"/>
    </x:row>
    <x:row r="13">
      <x:c r="A13" s="73" t="str">
        <x:v>T-012</x:v>
      </x:c>
      <x:c r="B13" s="73" t="str">
        <x:v>イベント一覧</x:v>
      </x:c>
      <x:c r="C13" s="73" t="str">
        <x:v>タブ切替</x:v>
      </x:c>
      <x:c r="D13" s="73" t="str">
        <x:v>システムテスト</x:v>
      </x:c>
      <x:c r="E13" s="73" t="str">
        <x:v>おすすめ、いいね済み、応募済みを切り替えられること</x:v>
      </x:c>
      <x:c r="F13" s="73" t="str">
        <x:v>各タブに対象イベントだけが表示され、0件時は空状態が表示される</x:v>
      </x:c>
      <x:c r="G13" s="103" t="str">
        <x:v>PASS</x:v>
      </x:c>
      <x:c r="H13" s="73" t="str">
        <x:v>デプロイ実測</x:v>
      </x:c>
      <x:c r="I13" s="73" t="str">
        <x:v>2026/07/14</x:v>
      </x:c>
      <x:c r="J13" s="73" t="str">
        <x:v>screenshots/T-012_recommended_tab.png
screenshots/T-012_liked_tab.png
screenshots/T-012_participated_tab.png</x:v>
      </x:c>
      <x:c r="K13" s="73" t="str">
        <x:v>おすすめ、いいね済み、応募済みの各タブを切替え、対象イベントと空状態の表示を確認。</x:v>
      </x:c>
      <x:c r="L13" s="73"/>
    </x:row>
    <x:row r="14">
      <x:c r="A14" s="73" t="str">
        <x:v>T-013</x:v>
      </x:c>
      <x:c r="B14" s="73" t="str">
        <x:v>イベント詳細モーダル</x:v>
      </x:c>
      <x:c r="C14" s="73" t="str">
        <x:v>詳細表示</x:v>
      </x:c>
      <x:c r="D14" s="73" t="str">
        <x:v>システムテスト</x:v>
      </x:c>
      <x:c r="E14" s="73" t="str">
        <x:v>イベント詳細モーダルが内容を表示できること</x:v>
      </x:c>
      <x:c r="F14" s="73" t="str">
        <x:v>詳細、活動内容、注意事項、場所、日時、ポイント、応募/いいね操作が表示される</x:v>
      </x:c>
      <x:c r="G14" s="103" t="str">
        <x:v>PASS</x:v>
      </x:c>
      <x:c r="H14" s="73" t="str">
        <x:v>デプロイ実測</x:v>
      </x:c>
      <x:c r="I14" s="73" t="str">
        <x:v>2026/07/14</x:v>
      </x:c>
      <x:c r="J14" s="73" t="str">
        <x:v>screenshots/T-013_event_detail_verified.png</x:v>
      </x:c>
      <x:c r="K14" s="73" t="str">
        <x:v>詳細モーダルに日時、場所、ポイント、活動内容、注意事項、応募・いいね操作が表示されることをDOMと画面で確認。</x:v>
      </x:c>
      <x:c r="L14" s="73"/>
    </x:row>
    <x:row r="15">
      <x:c r="A15" s="73" t="str">
        <x:v>T-014</x:v>
      </x:c>
      <x:c r="B15" s="73" t="str">
        <x:v>イベント詳細モーダル</x:v>
      </x:c>
      <x:c r="C15" s="73" t="str">
        <x:v>閉じる操作</x:v>
      </x:c>
      <x:c r="D15" s="73" t="str">
        <x:v>システムテスト</x:v>
      </x:c>
      <x:c r="E15" s="73" t="str">
        <x:v>モーダルを外側タップと下フリックで閉じられること</x:v>
      </x:c>
      <x:c r="F15" s="73" t="str">
        <x:v>どちらの操作でもモーダルが閉じ、スクロール操作とは誤判定されない</x:v>
      </x:c>
      <x:c r="G15" s="103" t="str">
        <x:v>PASS</x:v>
      </x:c>
      <x:c r="H15" s="73" t="str">
        <x:v>デプロイ実測</x:v>
      </x:c>
      <x:c r="I15" s="73" t="str">
        <x:v>2026/07/14</x:v>
      </x:c>
      <x:c r="J15" s="73" t="str">
        <x:v>screenshots/T-014_outside_tap_closed.png
screenshots/T-014_down_swipe_closed.png
api/T-014-modal-close.json</x:v>
      </x:c>
      <x:c r="K15" s="73" t="str">
        <x:v>モーダル外側タップと下方向フリックの両方でdialog要素が消えることを確認。</x:v>
      </x:c>
      <x:c r="L15" s="73"/>
    </x:row>
    <x:row r="16">
      <x:c r="A16" s="73" t="str">
        <x:v>T-015</x:v>
      </x:c>
      <x:c r="B16" s="73" t="str">
        <x:v>イベント詳細モーダル</x:v>
      </x:c>
      <x:c r="C16" s="73" t="str">
        <x:v>参加登録</x:v>
      </x:c>
      <x:c r="D16" s="73" t="str">
        <x:v>結合テスト</x:v>
      </x:c>
      <x:c r="E16" s="73" t="str">
        <x:v>イベント参加登録でポイントが付与されること</x:v>
      </x:c>
      <x:c r="F16" s="73" t="str">
        <x:v>参加状態になり、履歴とポイント残高へ付与分が反映される</x:v>
      </x:c>
      <x:c r="G16" s="80" t="str">
        <x:v>PASS</x:v>
      </x:c>
      <x:c r="H16" s="73" t="str">
        <x:v>ローカル自動</x:v>
      </x:c>
      <x:c r="I16" s="73" t="str">
        <x:v>2026/07/10</x:v>
      </x:c>
      <x:c r="J16" s="73" t="str">
        <x:v>logs/npm-test.log</x:v>
      </x:c>
      <x:c r="K16" s="73" t="str">
        <x:v>総合自動試験で期待値を満たすことを確認。</x:v>
      </x:c>
      <x:c r="L16" s="73" t="str"/>
    </x:row>
    <x:row r="17">
      <x:c r="A17" s="73" t="str">
        <x:v>T-016</x:v>
      </x:c>
      <x:c r="B17" s="73" t="str">
        <x:v>イベント詳細モーダル</x:v>
      </x:c>
      <x:c r="C17" s="73" t="str">
        <x:v>重複参加</x:v>
      </x:c>
      <x:c r="D17" s="73" t="str">
        <x:v>異常系結合テスト</x:v>
      </x:c>
      <x:c r="E17" s="73" t="str">
        <x:v>同じイベントへの二重参加を防止できること</x:v>
      </x:c>
      <x:c r="F17" s="73" t="str">
        <x:v>409相当または応募済み表示となり、ポイントが二重付与されない</x:v>
      </x:c>
      <x:c r="G17" s="80" t="str">
        <x:v>PASS</x:v>
      </x:c>
      <x:c r="H17" s="73" t="str">
        <x:v>ローカル自動</x:v>
      </x:c>
      <x:c r="I17" s="73" t="str">
        <x:v>2026/07/10</x:v>
      </x:c>
      <x:c r="J17" s="73" t="str">
        <x:v>logs/npm-test.log</x:v>
      </x:c>
      <x:c r="K17" s="73" t="str">
        <x:v>総合自動試験で期待値を満たすことを確認。</x:v>
      </x:c>
      <x:c r="L17" s="73" t="str"/>
    </x:row>
    <x:row r="18">
      <x:c r="A18" s="73" t="str">
        <x:v>T-017</x:v>
      </x:c>
      <x:c r="B18" s="73" t="str">
        <x:v>イベント詳細モーダル</x:v>
      </x:c>
      <x:c r="C18" s="73" t="str">
        <x:v>参加不可イベント</x:v>
      </x:c>
      <x:c r="D18" s="73" t="str">
        <x:v>異常系システムテスト</x:v>
      </x:c>
      <x:c r="E18" s="73" t="str">
        <x:v>募集停止中イベントへの応募を拒否できること</x:v>
      </x:c>
      <x:c r="F18" s="73" t="str">
        <x:v>応募不可のメッセージが表示され、参加履歴とポイントは変化しない</x:v>
      </x:c>
      <x:c r="G18" s="103" t="str">
        <x:v>PASS</x:v>
      </x:c>
      <x:c r="H18" s="73" t="str">
        <x:v>デプロイAPI</x:v>
      </x:c>
      <x:c r="I18" s="73" t="str">
        <x:v>2026/07/14</x:v>
      </x:c>
      <x:c r="J18" s="73" t="str">
        <x:v>api/extended-api-results.json
logs/extended-api-summary.log</x:v>
      </x:c>
      <x:c r="K18" s="73" t="str">
        <x:v>募集停止イベントを一時作成し、応募がHTTP 400で拒否され、ポイント不変を確認後に削除。</x:v>
      </x:c>
      <x:c r="L18" s="73" t="str">
        <x:v>試験データは削除済み。</x:v>
      </x:c>
    </x:row>
    <x:row r="19">
      <x:c r="A19" s="73" t="str">
        <x:v>T-018</x:v>
      </x:c>
      <x:c r="B19" s="73" t="str">
        <x:v>イベント詳細モーダル</x:v>
      </x:c>
      <x:c r="C19" s="73" t="str">
        <x:v>参加キャンセル</x:v>
      </x:c>
      <x:c r="D19" s="73" t="str">
        <x:v>結合テスト</x:v>
      </x:c>
      <x:c r="E19" s="73" t="str">
        <x:v>参加キャンセルで参加状態とポイントが戻ること</x:v>
      </x:c>
      <x:c r="F19" s="73" t="str">
        <x:v>参加履歴が取り消され、付与ポイントが残高から差し引かれる</x:v>
      </x:c>
      <x:c r="G19" s="80" t="str">
        <x:v>PASS</x:v>
      </x:c>
      <x:c r="H19" s="73" t="str">
        <x:v>ローカル自動</x:v>
      </x:c>
      <x:c r="I19" s="73" t="str">
        <x:v>2026/07/10</x:v>
      </x:c>
      <x:c r="J19" s="73" t="str">
        <x:v>logs/npm-test.log</x:v>
      </x:c>
      <x:c r="K19" s="73" t="str">
        <x:v>総合自動試験で期待値を満たすことを確認。</x:v>
      </x:c>
      <x:c r="L19" s="73" t="str"/>
    </x:row>
    <x:row r="20">
      <x:c r="A20" s="73" t="str">
        <x:v>T-019</x:v>
      </x:c>
      <x:c r="B20" s="73" t="str">
        <x:v>イベント詳細モーダル</x:v>
      </x:c>
      <x:c r="C20" s="73" t="str">
        <x:v>いいね追加</x:v>
      </x:c>
      <x:c r="D20" s="73" t="str">
        <x:v>結合テスト</x:v>
      </x:c>
      <x:c r="E20" s="73" t="str">
        <x:v>イベントにいいねを追加できること</x:v>
      </x:c>
      <x:c r="F20" s="73" t="str">
        <x:v>いいね状態になり、いいね済みタブと件数に反映される</x:v>
      </x:c>
      <x:c r="G20" s="80" t="str">
        <x:v>PASS</x:v>
      </x:c>
      <x:c r="H20" s="73" t="str">
        <x:v>ローカル自動</x:v>
      </x:c>
      <x:c r="I20" s="73" t="str">
        <x:v>2026/07/10</x:v>
      </x:c>
      <x:c r="J20" s="73" t="str">
        <x:v>logs/npm-test.log</x:v>
      </x:c>
      <x:c r="K20" s="73" t="str">
        <x:v>総合自動試験で期待値を満たすことを確認。</x:v>
      </x:c>
      <x:c r="L20" s="73" t="str"/>
    </x:row>
    <x:row r="21">
      <x:c r="A21" s="73" t="str">
        <x:v>T-020</x:v>
      </x:c>
      <x:c r="B21" s="73" t="str">
        <x:v>イベント詳細モーダル</x:v>
      </x:c>
      <x:c r="C21" s="73" t="str">
        <x:v>いいね解除</x:v>
      </x:c>
      <x:c r="D21" s="73" t="str">
        <x:v>結合テスト</x:v>
      </x:c>
      <x:c r="E21" s="73" t="str">
        <x:v>イベントのいいねを解除できること</x:v>
      </x:c>
      <x:c r="F21" s="73" t="str">
        <x:v>いいね状態が解除され、いいね済みタブから外れる</x:v>
      </x:c>
      <x:c r="G21" s="103" t="str">
        <x:v>PASS</x:v>
      </x:c>
      <x:c r="H21" s="73" t="str">
        <x:v>デプロイAPI</x:v>
      </x:c>
      <x:c r="I21" s="73" t="str">
        <x:v>2026/07/14</x:v>
      </x:c>
      <x:c r="J21" s="73" t="str">
        <x:v>api/extended-api-results.json
logs/extended-api-summary.log</x:v>
      </x:c>
      <x:c r="K21" s="73" t="str">
        <x:v>いいね解除APIが200となり、いいね済み一覧から対象イベントが消えることを確認。</x:v>
      </x:c>
      <x:c r="L21" s="73"/>
    </x:row>
    <x:row r="22">
      <x:c r="A22" s="73" t="str">
        <x:v>T-021</x:v>
      </x:c>
      <x:c r="B22" s="73" t="str">
        <x:v>提示QR画面</x:v>
      </x:c>
      <x:c r="C22" s="73" t="str">
        <x:v>QR表示</x:v>
      </x:c>
      <x:c r="D22" s="73" t="str">
        <x:v>システムテスト</x:v>
      </x:c>
      <x:c r="E22" s="73" t="str">
        <x:v>利用者が本人確認QRを提示できること</x:v>
      </x:c>
      <x:c r="F22" s="73" t="str">
        <x:v>QR画像、QR内容、有効期限、更新ボタンが表示される</x:v>
      </x:c>
      <x:c r="G22" s="80" t="str">
        <x:v>PASS</x:v>
      </x:c>
      <x:c r="H22" s="73" t="str">
        <x:v>デプロイ実測</x:v>
      </x:c>
      <x:c r="I22" s="73" t="str">
        <x:v>2026/07/10</x:v>
      </x:c>
      <x:c r="J22" s="73" t="str">
        <x:v>screenshots/T-021_qr.png</x:v>
      </x:c>
      <x:c r="K22" s="73" t="str">
        <x:v>本人確認QR、利用者名、期限、更新ボタンを表示。</x:v>
      </x:c>
      <x:c r="L22" s="73" t="str"/>
    </x:row>
    <x:row r="23">
      <x:c r="A23" s="73" t="str">
        <x:v>T-022</x:v>
      </x:c>
      <x:c r="B23" s="73" t="str">
        <x:v>提示QR画面</x:v>
      </x:c>
      <x:c r="C23" s="73" t="str">
        <x:v>QR内容</x:v>
      </x:c>
      <x:c r="D23" s="73" t="str">
        <x:v>単体テスト</x:v>
      </x:c>
      <x:c r="E23" s="73" t="str">
        <x:v>QRに秘密情報を含めないこと</x:v>
      </x:c>
      <x:c r="F23" s="73" t="str">
        <x:v>user_id、name、issued_at、expires_at、nonceのみを含み、JWT、パスワード、決済情報を含まない</x:v>
      </x:c>
      <x:c r="G23" s="103" t="str">
        <x:v>PASS</x:v>
      </x:c>
      <x:c r="H23" s="73" t="str">
        <x:v>デプロイ実測</x:v>
      </x:c>
      <x:c r="I23" s="73" t="str">
        <x:v>2026/07/14</x:v>
      </x:c>
      <x:c r="J23" s="73" t="str">
        <x:v>screenshots/T-022_qr_payload_keys.png
api/T-022-qr-payload-inspection.json</x:v>
      </x:c>
      <x:c r="K23" s="73" t="str">
        <x:v>QR内容を展開し、許可された7キーのみでJWT、パスワード、決済情報キーがないことを機械判定。</x:v>
      </x:c>
      <x:c r="L23" s="73"/>
    </x:row>
    <x:row r="24">
      <x:c r="A24" s="73" t="str">
        <x:v>T-023</x:v>
      </x:c>
      <x:c r="B24" s="73" t="str">
        <x:v>提示QR画面</x:v>
      </x:c>
      <x:c r="C24" s="73" t="str">
        <x:v>QR更新</x:v>
      </x:c>
      <x:c r="D24" s="73" t="str">
        <x:v>単体テスト</x:v>
      </x:c>
      <x:c r="E24" s="73" t="str">
        <x:v>QR更新時にnonceと期限が更新されること</x:v>
      </x:c>
      <x:c r="F24" s="73" t="str">
        <x:v>新しいnonceとexpires_atが発行され、古い表示内容と区別できる</x:v>
      </x:c>
      <x:c r="G24" s="80" t="str">
        <x:v>PASS</x:v>
      </x:c>
      <x:c r="H24" s="73" t="str">
        <x:v>ローカル自動</x:v>
      </x:c>
      <x:c r="I24" s="73" t="str">
        <x:v>2026/07/10</x:v>
      </x:c>
      <x:c r="J24" s="73" t="str">
        <x:v>logs/npm-test.log</x:v>
      </x:c>
      <x:c r="K24" s="73" t="str">
        <x:v>総合自動試験で期待値を満たすことを確認。</x:v>
      </x:c>
      <x:c r="L24" s="73" t="str"/>
    </x:row>
    <x:row r="25">
      <x:c r="A25" s="73" t="str">
        <x:v>T-024</x:v>
      </x:c>
      <x:c r="B25" s="73" t="str">
        <x:v>ウォレット</x:v>
      </x:c>
      <x:c r="C25" s="73" t="str">
        <x:v>残高表示</x:v>
      </x:c>
      <x:c r="D25" s="73" t="str">
        <x:v>システムテスト</x:v>
      </x:c>
      <x:c r="E25" s="73" t="str">
        <x:v>ポイント残高と履歴を確認できること</x:v>
      </x:c>
      <x:c r="F25" s="73" t="str">
        <x:v>現在残高と各履歴が時系列で表示される</x:v>
      </x:c>
      <x:c r="G25" s="80" t="str">
        <x:v>PASS</x:v>
      </x:c>
      <x:c r="H25" s="73" t="str">
        <x:v>デプロイ実測</x:v>
      </x:c>
      <x:c r="I25" s="73" t="str">
        <x:v>2026/07/10</x:v>
      </x:c>
      <x:c r="J25" s="73" t="str">
        <x:v>screenshots/T-024_wallet.png
api/live-api-results.json</x:v>
      </x:c>
      <x:c r="K25" s="73" t="str">
        <x:v>残高画面と履歴領域を表示し、ポイントAPI 200。</x:v>
      </x:c>
      <x:c r="L25" s="73" t="str"/>
    </x:row>
    <x:row r="26">
      <x:c r="A26" s="73" t="str">
        <x:v>T-025</x:v>
      </x:c>
      <x:c r="B26" s="73" t="str">
        <x:v>ウォレット</x:v>
      </x:c>
      <x:c r="C26" s="73" t="str">
        <x:v>ポイント購入</x:v>
      </x:c>
      <x:c r="D26" s="73" t="str">
        <x:v>結合テスト</x:v>
      </x:c>
      <x:c r="E26" s="73" t="str">
        <x:v>ポイントを購入し残高へ反映できること</x:v>
      </x:c>
      <x:c r="F26" s="73" t="str">
        <x:v>購入履歴が作成され、残高が購入分増加する</x:v>
      </x:c>
      <x:c r="G26" s="80" t="str">
        <x:v>PASS</x:v>
      </x:c>
      <x:c r="H26" s="73" t="str">
        <x:v>ローカル自動</x:v>
      </x:c>
      <x:c r="I26" s="73" t="str">
        <x:v>2026/07/10</x:v>
      </x:c>
      <x:c r="J26" s="73" t="str">
        <x:v>logs/npm-test.log</x:v>
      </x:c>
      <x:c r="K26" s="73" t="str">
        <x:v>総合自動試験で期待値を満たすことを確認。</x:v>
      </x:c>
      <x:c r="L26" s="73" t="str"/>
    </x:row>
    <x:row r="27">
      <x:c r="A27" s="73" t="str">
        <x:v>T-026</x:v>
      </x:c>
      <x:c r="B27" s="73" t="str">
        <x:v>ウォレット</x:v>
      </x:c>
      <x:c r="C27" s="73" t="str">
        <x:v>購入失敗</x:v>
      </x:c>
      <x:c r="D27" s="73" t="str">
        <x:v>異常系結合テスト</x:v>
      </x:c>
      <x:c r="E27" s="73" t="str">
        <x:v>決済失敗時に残高を変更しないこと</x:v>
      </x:c>
      <x:c r="F27" s="73" t="str">
        <x:v>失敗メッセージが表示され、残高と購入履歴は増えない</x:v>
      </x:c>
      <x:c r="G27" s="80" t="str">
        <x:v>PASS</x:v>
      </x:c>
      <x:c r="H27" s="73" t="str">
        <x:v>デプロイ＋自動</x:v>
      </x:c>
      <x:c r="I27" s="73" t="str">
        <x:v>2026/07/10</x:v>
      </x:c>
      <x:c r="J27" s="73" t="str">
        <x:v>api/live-api-results.json
logs/npm-test.log</x:v>
      </x:c>
      <x:c r="K27" s="73" t="str">
        <x:v>failed購入を201で記録し、残高不変を自動試験で確認。</x:v>
      </x:c>
      <x:c r="L27" s="73" t="str"/>
    </x:row>
    <x:row r="28">
      <x:c r="A28" s="73" t="str">
        <x:v>T-027</x:v>
      </x:c>
      <x:c r="B28" s="73" t="str">
        <x:v>商品交換</x:v>
      </x:c>
      <x:c r="C28" s="73" t="str">
        <x:v>商品一覧</x:v>
      </x:c>
      <x:c r="D28" s="73" t="str">
        <x:v>システムテスト</x:v>
      </x:c>
      <x:c r="E28" s="73" t="str">
        <x:v>交換可能な商品カテゴリと商品を表示できること</x:v>
      </x:c>
      <x:c r="F28" s="73" t="str">
        <x:v>商品名、説明、必要ポイント、店舗情報が表示される</x:v>
      </x:c>
      <x:c r="G28" s="80" t="str">
        <x:v>PASS</x:v>
      </x:c>
      <x:c r="H28" s="73" t="str">
        <x:v>デプロイ実測</x:v>
      </x:c>
      <x:c r="I28" s="73" t="str">
        <x:v>2026/07/10</x:v>
      </x:c>
      <x:c r="J28" s="73" t="str">
        <x:v>screenshots/T-048_store_login.png
api/live-api-results.json</x:v>
      </x:c>
      <x:c r="K28" s="73" t="str">
        <x:v>サービスAPI 200。商店ポータルで商品詳細を表示。</x:v>
      </x:c>
      <x:c r="L28" s="73" t="str"/>
    </x:row>
    <x:row r="29">
      <x:c r="A29" s="73" t="str">
        <x:v>T-028</x:v>
      </x:c>
      <x:c r="B29" s="73" t="str">
        <x:v>商品交換</x:v>
      </x:c>
      <x:c r="C29" s="73" t="str">
        <x:v>商品詳細と地図</x:v>
      </x:c>
      <x:c r="D29" s="73" t="str">
        <x:v>システムテスト</x:v>
      </x:c>
      <x:c r="E29" s="73" t="str">
        <x:v>商品選択時に店舗位置を地図表示できること</x:v>
      </x:c>
      <x:c r="F29" s="73" t="str">
        <x:v>店舗名・住所から地図検索URLが生成され、地図表示または外部地図への導線が表示される</x:v>
      </x:c>
      <x:c r="G29" s="80" t="str">
        <x:v>PASS</x:v>
      </x:c>
      <x:c r="H29" s="73" t="str">
        <x:v>デプロイ実測</x:v>
      </x:c>
      <x:c r="I29" s="73" t="str">
        <x:v>2026/07/10</x:v>
      </x:c>
      <x:c r="J29" s="73" t="str">
        <x:v>screenshots/T-048_store_login.png</x:v>
      </x:c>
      <x:c r="K29" s="73" t="str">
        <x:v>店舗住所とGoogle Mapリンクを画面表示。</x:v>
      </x:c>
      <x:c r="L29" s="73" t="str"/>
    </x:row>
    <x:row r="30">
      <x:c r="A30" s="73" t="str">
        <x:v>T-029</x:v>
      </x:c>
      <x:c r="B30" s="73" t="str">
        <x:v>商品交換</x:v>
      </x:c>
      <x:c r="C30" s="73" t="str">
        <x:v>ポイント交換</x:v>
      </x:c>
      <x:c r="D30" s="73" t="str">
        <x:v>結合テスト</x:v>
      </x:c>
      <x:c r="E30" s="73" t="str">
        <x:v>ポイントで商品交換を実行できること</x:v>
      </x:c>
      <x:c r="F30" s="73" t="str">
        <x:v>交換履歴が作成され、残高が必要ポイント分減少する</x:v>
      </x:c>
      <x:c r="G30" s="80" t="str">
        <x:v>PASS</x:v>
      </x:c>
      <x:c r="H30" s="73" t="str">
        <x:v>ローカル自動</x:v>
      </x:c>
      <x:c r="I30" s="73" t="str">
        <x:v>2026/07/10</x:v>
      </x:c>
      <x:c r="J30" s="73" t="str">
        <x:v>logs/npm-test.log</x:v>
      </x:c>
      <x:c r="K30" s="73" t="str">
        <x:v>総合自動試験で期待値を満たすことを確認。</x:v>
      </x:c>
      <x:c r="L30" s="73" t="str"/>
    </x:row>
    <x:row r="31">
      <x:c r="A31" s="73" t="str">
        <x:v>T-030</x:v>
      </x:c>
      <x:c r="B31" s="73" t="str">
        <x:v>商品交換</x:v>
      </x:c>
      <x:c r="C31" s="73" t="str">
        <x:v>ポイント不足</x:v>
      </x:c>
      <x:c r="D31" s="73" t="str">
        <x:v>異常系結合テスト</x:v>
      </x:c>
      <x:c r="E31" s="73" t="str">
        <x:v>ポイント不足時に交換を拒否できること</x:v>
      </x:c>
      <x:c r="F31" s="73" t="str">
        <x:v>ポイント不足メッセージが表示され、残高と交換履歴は変化しない</x:v>
      </x:c>
      <x:c r="G31" s="103" t="str">
        <x:v>PASS</x:v>
      </x:c>
      <x:c r="H31" s="73" t="str">
        <x:v>デプロイAPI</x:v>
      </x:c>
      <x:c r="I31" s="73" t="str">
        <x:v>2026/07/14</x:v>
      </x:c>
      <x:c r="J31" s="73" t="str">
        <x:v>api/extended-api-results.json
logs/extended-api-summary.log</x:v>
      </x:c>
      <x:c r="K31" s="73" t="str">
        <x:v>残高を一時的に0へ変更し、交換がHTTP 400で拒否されることを確認後、元の残高へ復元。</x:v>
      </x:c>
      <x:c r="L31" s="73" t="str">
        <x:v>利用者残高は復元済み。</x:v>
      </x:c>
    </x:row>
    <x:row r="32">
      <x:c r="A32" s="73" t="str">
        <x:v>T-031</x:v>
      </x:c>
      <x:c r="B32" s="73" t="str">
        <x:v>商品交換</x:v>
      </x:c>
      <x:c r="C32" s="73" t="str">
        <x:v>お気に入り追加</x:v>
      </x:c>
      <x:c r="D32" s="73" t="str">
        <x:v>結合テスト</x:v>
      </x:c>
      <x:c r="E32" s="73" t="str">
        <x:v>商品またはサービスをお気に入り登録できること</x:v>
      </x:c>
      <x:c r="F32" s="73" t="str">
        <x:v>お気に入り状態になり、お気に入り一覧へ反映される</x:v>
      </x:c>
      <x:c r="G32" s="80" t="str">
        <x:v>PASS</x:v>
      </x:c>
      <x:c r="H32" s="73" t="str">
        <x:v>ローカル自動</x:v>
      </x:c>
      <x:c r="I32" s="73" t="str">
        <x:v>2026/07/10</x:v>
      </x:c>
      <x:c r="J32" s="73" t="str">
        <x:v>logs/npm-test.log</x:v>
      </x:c>
      <x:c r="K32" s="73" t="str">
        <x:v>総合自動試験で期待値を満たすことを確認。</x:v>
      </x:c>
      <x:c r="L32" s="73" t="str"/>
    </x:row>
    <x:row r="33">
      <x:c r="A33" s="73" t="str">
        <x:v>T-032</x:v>
      </x:c>
      <x:c r="B33" s="73" t="str">
        <x:v>アカウント</x:v>
      </x:c>
      <x:c r="C33" s="73" t="str">
        <x:v>設定表示</x:v>
      </x:c>
      <x:c r="D33" s="73" t="str">
        <x:v>システムテスト</x:v>
      </x:c>
      <x:c r="E33" s="73" t="str">
        <x:v>通知、言語、文字サイズ設定を表示できること</x:v>
      </x:c>
      <x:c r="F33" s="73" t="str">
        <x:v>メール、通知設定、言語、文字サイズ、パスワード変更導線が表示される</x:v>
      </x:c>
      <x:c r="G33" s="80" t="str">
        <x:v>PASS</x:v>
      </x:c>
      <x:c r="H33" s="73" t="str">
        <x:v>デプロイ実測</x:v>
      </x:c>
      <x:c r="I33" s="73" t="str">
        <x:v>2026/07/10</x:v>
      </x:c>
      <x:c r="J33" s="73" t="str">
        <x:v>screenshots/T-032_account.png
api/live-api-results.json</x:v>
      </x:c>
      <x:c r="K33" s="73" t="str">
        <x:v>メール、パスワード、通知、支払方法、履歴、問い合わせ導線を表示。</x:v>
      </x:c>
      <x:c r="L33" s="73" t="str"/>
    </x:row>
    <x:row r="34">
      <x:c r="A34" s="73" t="str">
        <x:v>T-033</x:v>
      </x:c>
      <x:c r="B34" s="73" t="str">
        <x:v>アカウント</x:v>
      </x:c>
      <x:c r="C34" s="73" t="str">
        <x:v>言語切替</x:v>
      </x:c>
      <x:c r="D34" s="73" t="str">
        <x:v>システムテスト</x:v>
      </x:c>
      <x:c r="E34" s="73" t="str">
        <x:v>固定UI文言を即時に切り替えられること</x:v>
      </x:c>
      <x:c r="F34" s="73" t="str">
        <x:v>ナビ、ボタン、ラベル、エラー等の固定UI文言が英語表示に切り替わる</x:v>
      </x:c>
      <x:c r="G34" s="80" t="str">
        <x:v>PASS</x:v>
      </x:c>
      <x:c r="H34" s="73" t="str">
        <x:v>ローカル自動</x:v>
      </x:c>
      <x:c r="I34" s="73" t="str">
        <x:v>2026/07/10</x:v>
      </x:c>
      <x:c r="J34" s="73" t="str">
        <x:v>logs/npm-test.log</x:v>
      </x:c>
      <x:c r="K34" s="73" t="str">
        <x:v>総合自動試験で期待値を満たすことを確認。</x:v>
      </x:c>
      <x:c r="L34" s="73" t="str"/>
    </x:row>
    <x:row r="35">
      <x:c r="A35" s="73" t="str">
        <x:v>T-034</x:v>
      </x:c>
      <x:c r="B35" s="73" t="str">
        <x:v>アカウント</x:v>
      </x:c>
      <x:c r="C35" s="73" t="str">
        <x:v>翻訳キャッシュ表示</x:v>
      </x:c>
      <x:c r="D35" s="73" t="str">
        <x:v>結合テスト</x:v>
      </x:c>
      <x:c r="E35" s="73" t="str">
        <x:v>可変コンテンツはキャッシュ済み翻訳を表示できること</x:v>
      </x:c>
      <x:c r="F35" s="73" t="str">
        <x:v>キャッシュ済みのイベント名、商品名、説明が英語で表示される</x:v>
      </x:c>
      <x:c r="G35" s="80" t="str">
        <x:v>PASS</x:v>
      </x:c>
      <x:c r="H35" s="73" t="str">
        <x:v>ローカル自動</x:v>
      </x:c>
      <x:c r="I35" s="73" t="str">
        <x:v>2026/07/10</x:v>
      </x:c>
      <x:c r="J35" s="73" t="str">
        <x:v>logs/npm-test.log</x:v>
      </x:c>
      <x:c r="K35" s="73" t="str">
        <x:v>同一原文の2回目はキャッシュヒットし翻訳API呼出が1回のまま。</x:v>
      </x:c>
      <x:c r="L35" s="73" t="str"/>
    </x:row>
    <x:row r="36">
      <x:c r="A36" s="73" t="str">
        <x:v>T-035</x:v>
      </x:c>
      <x:c r="B36" s="73" t="str">
        <x:v>アカウント</x:v>
      </x:c>
      <x:c r="C36" s="73" t="str">
        <x:v>翻訳フォールバック</x:v>
      </x:c>
      <x:c r="D36" s="73" t="str">
        <x:v>異常系結合テスト</x:v>
      </x:c>
      <x:c r="E36" s="73" t="str">
        <x:v>翻訳未生成または失敗時に原文表示へ戻ること</x:v>
      </x:c>
      <x:c r="F36" s="73" t="str">
        <x:v>画面は表示され、未翻訳部分は原文で表示される</x:v>
      </x:c>
      <x:c r="G36" s="80" t="str">
        <x:v>PASS</x:v>
      </x:c>
      <x:c r="H36" s="73" t="str">
        <x:v>ローカル自動</x:v>
      </x:c>
      <x:c r="I36" s="73" t="str">
        <x:v>2026/07/10</x:v>
      </x:c>
      <x:c r="J36" s="73" t="str">
        <x:v>logs/npm-test.log</x:v>
      </x:c>
      <x:c r="K36" s="73" t="str">
        <x:v>翻訳API 500時に原文を返し、failed状態を保存。</x:v>
      </x:c>
      <x:c r="L36" s="73" t="str"/>
    </x:row>
    <x:row r="37">
      <x:c r="A37" s="73" t="str">
        <x:v>T-036</x:v>
      </x:c>
      <x:c r="B37" s="73" t="str">
        <x:v>アカウント</x:v>
      </x:c>
      <x:c r="C37" s="73" t="str">
        <x:v>翻訳対象外値</x:v>
      </x:c>
      <x:c r="D37" s="73" t="str">
        <x:v>システムテスト</x:v>
      </x:c>
      <x:c r="E37" s="73" t="str">
        <x:v>住所、店舗正式名称、日時、ポイント数を翻訳しないこと</x:v>
      </x:c>
      <x:c r="F37" s="73" t="str">
        <x:v>住所、店舗正式名称、日時、ポイント数、地図検索値は原文または数値のまま保持される</x:v>
      </x:c>
      <x:c r="G37" s="80" t="str">
        <x:v>PASS</x:v>
      </x:c>
      <x:c r="H37" s="73" t="str">
        <x:v>ローカル自動</x:v>
      </x:c>
      <x:c r="I37" s="73" t="str">
        <x:v>2026/07/10</x:v>
      </x:c>
      <x:c r="J37" s="73" t="str">
        <x:v>logs/npm-test.log</x:v>
      </x:c>
      <x:c r="K37" s="73" t="str">
        <x:v>英語取得時も場所、店舗名等が翻訳されないことを自動試験で確認。</x:v>
      </x:c>
      <x:c r="L37" s="73" t="str"/>
    </x:row>
    <x:row r="38">
      <x:c r="A38" s="73" t="str">
        <x:v>T-037</x:v>
      </x:c>
      <x:c r="B38" s="73" t="str">
        <x:v>アカウント</x:v>
      </x:c>
      <x:c r="C38" s="73" t="str">
        <x:v>メール変更</x:v>
      </x:c>
      <x:c r="D38" s="73" t="str">
        <x:v>結合テスト</x:v>
      </x:c>
      <x:c r="E38" s="73" t="str">
        <x:v>メールアドレスを変更できること</x:v>
      </x:c>
      <x:c r="F38" s="73" t="str">
        <x:v>変更が保存され、次回ログインまたは表示情報に反映される</x:v>
      </x:c>
      <x:c r="G38" s="103" t="str">
        <x:v>PASS</x:v>
      </x:c>
      <x:c r="H38" s="73" t="str">
        <x:v>デプロイAPI</x:v>
      </x:c>
      <x:c r="I38" s="73" t="str">
        <x:v>2026/07/14</x:v>
      </x:c>
      <x:c r="J38" s="73" t="str">
        <x:v>api/extended-api-results.json
logs/extended-api-summary.log</x:v>
      </x:c>
      <x:c r="K38" s="73" t="str">
        <x:v>一時メールへ変更後、新メールでログイン成功・旧メールで失敗を確認し、元メールへ復元後に再ログイン成功。</x:v>
      </x:c>
      <x:c r="L38" s="73" t="str">
        <x:v>メールアドレスは復元済み。</x:v>
      </x:c>
    </x:row>
    <x:row r="39">
      <x:c r="A39" s="73" t="str">
        <x:v>T-038</x:v>
      </x:c>
      <x:c r="B39" s="73" t="str">
        <x:v>アカウント</x:v>
      </x:c>
      <x:c r="C39" s="73" t="str">
        <x:v>パスワード変更</x:v>
      </x:c>
      <x:c r="D39" s="73" t="str">
        <x:v>結合テスト</x:v>
      </x:c>
      <x:c r="E39" s="73" t="str">
        <x:v>現在パスワード確認付きでパスワード変更できること</x:v>
      </x:c>
      <x:c r="F39" s="73" t="str">
        <x:v>変更成功後、旧パスワードではログイン不可、新パスワードでログイン可能になる</x:v>
      </x:c>
      <x:c r="G39" s="103" t="str">
        <x:v>PASS</x:v>
      </x:c>
      <x:c r="H39" s="73" t="str">
        <x:v>デプロイAPI</x:v>
      </x:c>
      <x:c r="I39" s="73" t="str">
        <x:v>2026/07/14</x:v>
      </x:c>
      <x:c r="J39" s="73" t="str">
        <x:v>api/extended-api-results.json
logs/extended-api-summary.log</x:v>
      </x:c>
      <x:c r="K39" s="73" t="str">
        <x:v>一時パスワードへ変更後、旧パスワードで失敗・新パスワードで成功を確認し、元パスワードへ復元。</x:v>
      </x:c>
      <x:c r="L39" s="73" t="str">
        <x:v>パスワードは復元済み。</x:v>
      </x:c>
    </x:row>
    <x:row r="40">
      <x:c r="A40" s="73" t="str">
        <x:v>T-039</x:v>
      </x:c>
      <x:c r="B40" s="73" t="str">
        <x:v>通知</x:v>
      </x:c>
      <x:c r="C40" s="73" t="str">
        <x:v>通知一覧</x:v>
      </x:c>
      <x:c r="D40" s="73" t="str">
        <x:v>システムテスト</x:v>
      </x:c>
      <x:c r="E40" s="73" t="str">
        <x:v>ユーザー通知を一覧表示できること</x:v>
      </x:c>
      <x:c r="F40" s="73" t="str">
        <x:v>通知タイトル、本文、既読状態、日時が表示される</x:v>
      </x:c>
      <x:c r="G40" s="80" t="str">
        <x:v>PASS</x:v>
      </x:c>
      <x:c r="H40" s="73" t="str">
        <x:v>デプロイ実測</x:v>
      </x:c>
      <x:c r="I40" s="73" t="str">
        <x:v>2026/07/10</x:v>
      </x:c>
      <x:c r="J40" s="73" t="str">
        <x:v>screenshots/T-039_notifications.png
api/live-api-results.json</x:v>
      </x:c>
      <x:c r="K40" s="73" t="str">
        <x:v>通知API 200と空状態画面を確認。</x:v>
      </x:c>
      <x:c r="L40" s="73" t="str"/>
    </x:row>
    <x:row r="41">
      <x:c r="A41" s="73" t="str">
        <x:v>T-040</x:v>
      </x:c>
      <x:c r="B41" s="73" t="str">
        <x:v>通知</x:v>
      </x:c>
      <x:c r="C41" s="73" t="str">
        <x:v>既読化</x:v>
      </x:c>
      <x:c r="D41" s="73" t="str">
        <x:v>結合テスト</x:v>
      </x:c>
      <x:c r="E41" s="73" t="str">
        <x:v>通知詳細表示時に既読化できること</x:v>
      </x:c>
      <x:c r="F41" s="73" t="str">
        <x:v>通知が既読になり、未読件数や一覧表示に反映される</x:v>
      </x:c>
      <x:c r="G41" s="80" t="str">
        <x:v>PASS</x:v>
      </x:c>
      <x:c r="H41" s="73" t="str">
        <x:v>ローカル自動</x:v>
      </x:c>
      <x:c r="I41" s="73" t="str">
        <x:v>2026/07/10</x:v>
      </x:c>
      <x:c r="J41" s="73" t="str">
        <x:v>logs/npm-test.log</x:v>
      </x:c>
      <x:c r="K41" s="73" t="str">
        <x:v>通知作成後、既読更新APIが成功。</x:v>
      </x:c>
      <x:c r="L41" s="73" t="str"/>
    </x:row>
    <x:row r="42">
      <x:c r="A42" s="73" t="str">
        <x:v>T-041</x:v>
      </x:c>
      <x:c r="B42" s="73" t="str">
        <x:v>問い合わせ</x:v>
      </x:c>
      <x:c r="C42" s="73" t="str">
        <x:v>チケット作成</x:v>
      </x:c>
      <x:c r="D42" s="73" t="str">
        <x:v>結合テスト</x:v>
      </x:c>
      <x:c r="E42" s="73" t="str">
        <x:v>問い合わせや不具合報告を送信できること</x:v>
      </x:c>
      <x:c r="F42" s="73" t="str">
        <x:v>チケットが作成され、問い合わせ履歴に表示される</x:v>
      </x:c>
      <x:c r="G42" s="80" t="str">
        <x:v>PASS</x:v>
      </x:c>
      <x:c r="H42" s="73" t="str">
        <x:v>ローカル自動</x:v>
      </x:c>
      <x:c r="I42" s="73" t="str">
        <x:v>2026/07/10</x:v>
      </x:c>
      <x:c r="J42" s="73" t="str">
        <x:v>logs/npm-test.log</x:v>
      </x:c>
      <x:c r="K42" s="73" t="str">
        <x:v>問い合わせ作成をローカル結合試験、デプロイ一覧API 200を確認。</x:v>
      </x:c>
      <x:c r="L42" s="73" t="str"/>
    </x:row>
    <x:row r="43">
      <x:c r="A43" s="73" t="str">
        <x:v>T-042</x:v>
      </x:c>
      <x:c r="B43" s="73" t="str">
        <x:v>主催者ポータル</x:v>
      </x:c>
      <x:c r="C43" s="73" t="str">
        <x:v>アクセスコード</x:v>
      </x:c>
      <x:c r="D43" s="73" t="str">
        <x:v>システムテスト</x:v>
      </x:c>
      <x:c r="E43" s="73" t="str">
        <x:v>正しいアクセスコードで主催者画面を利用できること</x:v>
      </x:c>
      <x:c r="F43" s="73" t="str">
        <x:v>対象イベント情報とQR読取画面が表示される</x:v>
      </x:c>
      <x:c r="G43" s="80" t="str">
        <x:v>PASS</x:v>
      </x:c>
      <x:c r="H43" s="73" t="str">
        <x:v>デプロイ実測</x:v>
      </x:c>
      <x:c r="I43" s="73" t="str">
        <x:v>2026/07/10</x:v>
      </x:c>
      <x:c r="J43" s="73" t="str">
        <x:v>screenshots/T-042_event_login.png
api/live-api-results.json</x:v>
      </x:c>
      <x:c r="K43" s="73" t="str">
        <x:v>初回コールドスタート後、主催者名と5イベントを表示。API 200。</x:v>
      </x:c>
      <x:c r="L43" s="73" t="str"/>
    </x:row>
    <x:row r="44">
      <x:c r="A44" s="73" t="str">
        <x:v>T-043</x:v>
      </x:c>
      <x:c r="B44" s="73" t="str">
        <x:v>主催者ポータル</x:v>
      </x:c>
      <x:c r="C44" s="73" t="str">
        <x:v>アクセスコード不正</x:v>
      </x:c>
      <x:c r="D44" s="73" t="str">
        <x:v>異常系システムテスト</x:v>
      </x:c>
      <x:c r="E44" s="73" t="str">
        <x:v>不正なアクセスコードを拒否できること</x:v>
      </x:c>
      <x:c r="F44" s="73" t="str">
        <x:v>イベント画面へ進まず、アクセスコード確認メッセージが表示される</x:v>
      </x:c>
      <x:c r="G44" s="80" t="str">
        <x:v>PASS</x:v>
      </x:c>
      <x:c r="H44" s="73" t="str">
        <x:v>デプロイ実測</x:v>
      </x:c>
      <x:c r="I44" s="73" t="str">
        <x:v>2026/07/10</x:v>
      </x:c>
      <x:c r="J44" s="73" t="str">
        <x:v>screenshots/T-043_event_invalid.png
api/live-api-results.json</x:v>
      </x:c>
      <x:c r="K44" s="73" t="str">
        <x:v>空パスワードでエラー表示、誤パスワードAPI 401。</x:v>
      </x:c>
      <x:c r="L44" s="73" t="str"/>
    </x:row>
    <x:row r="45">
      <x:c r="A45" s="73" t="str">
        <x:v>T-044</x:v>
      </x:c>
      <x:c r="B45" s="73" t="str">
        <x:v>主催者ポータル</x:v>
      </x:c>
      <x:c r="C45" s="73" t="str">
        <x:v>QR読取受付</x:v>
      </x:c>
      <x:c r="D45" s="73" t="str">
        <x:v>結合テスト</x:v>
      </x:c>
      <x:c r="E45" s="73" t="str">
        <x:v>利用者提示QRを読み取りイベント受付できること</x:v>
      </x:c>
      <x:c r="F45" s="73" t="str">
        <x:v>受付成功となり、対象ユーザーとイベントIDが記録される</x:v>
      </x:c>
      <x:c r="G45" s="83" t="str">
        <x:v>PASS</x:v>
      </x:c>
      <x:c r="H45" s="73" t="str">
        <x:v>利用者確認＋デプロイ実測</x:v>
      </x:c>
      <x:c r="I45" s="73" t="str">
        <x:v>2026/07/14</x:v>
      </x:c>
      <x:c r="J45" s="73" t="str">
        <x:v>screenshots/T-044-manual-checkin-success-live-20260714.png
api/T-044-camera-checkin-confirmed-20260714.json</x:v>
      </x:c>
      <x:c r="K45" s="73" t="str">
        <x:v>物理カメラ読取は利用者確認済み。カメラ入力と同じ後続処理となる手入力QRで、受付しました・Demo User・+90ptの成功画面を記録。</x:v>
      </x:c>
      <x:c r="L45" s="73"/>
    </x:row>
    <x:row r="46">
      <x:c r="A46" s="73" t="str">
        <x:v>T-045</x:v>
      </x:c>
      <x:c r="B46" s="73" t="str">
        <x:v>主催者ポータル</x:v>
      </x:c>
      <x:c r="C46" s="73" t="str">
        <x:v>期限切れQR</x:v>
      </x:c>
      <x:c r="D46" s="73" t="str">
        <x:v>異常系結合テスト</x:v>
      </x:c>
      <x:c r="E46" s="73" t="str">
        <x:v>期限切れの利用者QRを拒否できること</x:v>
      </x:c>
      <x:c r="F46" s="73" t="str">
        <x:v>期限切れエラーが表示され、受付は作成されない</x:v>
      </x:c>
      <x:c r="G46" s="80" t="str">
        <x:v>PASS</x:v>
      </x:c>
      <x:c r="H46" s="73" t="str">
        <x:v>ローカル自動</x:v>
      </x:c>
      <x:c r="I46" s="73" t="str">
        <x:v>2026/07/10</x:v>
      </x:c>
      <x:c r="J46" s="73" t="str">
        <x:v>logs/npm-test.log</x:v>
      </x:c>
      <x:c r="K46" s="73" t="str">
        <x:v>期限許容外QRをexpiredとして拒否。</x:v>
      </x:c>
      <x:c r="L46" s="73" t="str"/>
    </x:row>
    <x:row r="47">
      <x:c r="A47" s="73" t="str">
        <x:v>T-046</x:v>
      </x:c>
      <x:c r="B47" s="73" t="str">
        <x:v>主催者ポータル</x:v>
      </x:c>
      <x:c r="C47" s="73" t="str">
        <x:v>重複受付</x:v>
      </x:c>
      <x:c r="D47" s="73" t="str">
        <x:v>異常系結合テスト</x:v>
      </x:c>
      <x:c r="E47" s="73" t="str">
        <x:v>同じnonceまたは同じイベント受付の重複を防止できること</x:v>
      </x:c>
      <x:c r="F47" s="73" t="str">
        <x:v>409相当の重複エラーが表示され、受付が二重作成されない</x:v>
      </x:c>
      <x:c r="G47" s="80" t="str">
        <x:v>PASS</x:v>
      </x:c>
      <x:c r="H47" s="73" t="str">
        <x:v>ローカル自動</x:v>
      </x:c>
      <x:c r="I47" s="73" t="str">
        <x:v>2026/07/10</x:v>
      </x:c>
      <x:c r="J47" s="73" t="str">
        <x:v>logs/npm-test.log</x:v>
      </x:c>
      <x:c r="K47" s="73" t="str">
        <x:v>同一nonceの2回目を409で拒否。</x:v>
      </x:c>
      <x:c r="L47" s="73" t="str"/>
    </x:row>
    <x:row r="48">
      <x:c r="A48" s="73" t="str">
        <x:v>T-047</x:v>
      </x:c>
      <x:c r="B48" s="73" t="str">
        <x:v>主催者ポータル</x:v>
      </x:c>
      <x:c r="C48" s="73" t="str">
        <x:v>カメラ未対応</x:v>
      </x:c>
      <x:c r="D48" s="73" t="str">
        <x:v>異常系システムテスト</x:v>
      </x:c>
      <x:c r="E48" s="73" t="str">
        <x:v>カメラ未対応環境でも手入力で受付できること</x:v>
      </x:c>
      <x:c r="F48" s="73" t="str">
        <x:v>カメラ未対応案内とQR内容手入力欄が表示され、手入力で受付できる</x:v>
      </x:c>
      <x:c r="G48" s="83" t="str">
        <x:v>PASS</x:v>
      </x:c>
      <x:c r="H48" s="73" t="str">
        <x:v>デプロイ実測</x:v>
      </x:c>
      <x:c r="I48" s="73" t="str">
        <x:v>2026/07/14</x:v>
      </x:c>
      <x:c r="J48" s="73" t="str">
        <x:v>screenshots/T-047-camera-unavailable-live-20260714.png
screenshots/T-047-manual-checkin-success-live-20260714.png
api/T-047-camera-fallback-live-20260714.json</x:v>
      </x:c>
      <x:c r="K48" s="73" t="str">
        <x:v>カメラ未検出環境で案内表示後、手入力QRによる受付とDB反映（受付数12→13、+90pt）を確認。</x:v>
      </x:c>
      <x:c r="L48" s="73"/>
    </x:row>
    <x:row r="49">
      <x:c r="A49" s="73" t="str">
        <x:v>T-048</x:v>
      </x:c>
      <x:c r="B49" s="73" t="str">
        <x:v>商店ポータル</x:v>
      </x:c>
      <x:c r="C49" s="73" t="str">
        <x:v>アクセスコード</x:v>
      </x:c>
      <x:c r="D49" s="73" t="str">
        <x:v>システムテスト</x:v>
      </x:c>
      <x:c r="E49" s="73" t="str">
        <x:v>正しいアクセスコードで商店画面を利用できること</x:v>
      </x:c>
      <x:c r="F49" s="73" t="str">
        <x:v>店舗情報、交換対象商品、QR読取画面が表示される</x:v>
      </x:c>
      <x:c r="G49" s="80" t="str">
        <x:v>PASS</x:v>
      </x:c>
      <x:c r="H49" s="73" t="str">
        <x:v>デプロイ実測</x:v>
      </x:c>
      <x:c r="I49" s="73" t="str">
        <x:v>2026/07/10</x:v>
      </x:c>
      <x:c r="J49" s="73" t="str">
        <x:v>screenshots/T-048_store_login.png
api/live-api-results.json</x:v>
      </x:c>
      <x:c r="K49" s="73" t="str">
        <x:v>店舗、住所、商品、必要ポイント、QR入力を表示。API 200。</x:v>
      </x:c>
      <x:c r="L49" s="73" t="str"/>
    </x:row>
    <x:row r="50">
      <x:c r="A50" s="73" t="str">
        <x:v>T-049</x:v>
      </x:c>
      <x:c r="B50" s="73" t="str">
        <x:v>商店ポータル</x:v>
      </x:c>
      <x:c r="C50" s="73" t="str">
        <x:v>QR読取交換</x:v>
      </x:c>
      <x:c r="D50" s="73" t="str">
        <x:v>結合テスト</x:v>
      </x:c>
      <x:c r="E50" s="73" t="str">
        <x:v>利用者提示QRを読み取り商品交換を確定できること</x:v>
      </x:c>
      <x:c r="F50" s="73" t="str">
        <x:v>交換成功となり、商品ID、利用者ID、消費ポイントが記録される</x:v>
      </x:c>
      <x:c r="G50" s="83" t="str">
        <x:v>PASS</x:v>
      </x:c>
      <x:c r="H50" s="73" t="str">
        <x:v>利用者確認＋デプロイ実測</x:v>
      </x:c>
      <x:c r="I50" s="73" t="str">
        <x:v>2026/07/14</x:v>
      </x:c>
      <x:c r="J50" s="73" t="str">
        <x:v>screenshots/T-049-manual-exchange-success-live-20260714.png
api/T-049-manual-exchange-live-20260714.json</x:v>
      </x:c>
      <x:c r="K50" s="73" t="str">
        <x:v>物理カメラ読取は利用者確認済み。手入力QRで交換完了・Demo User (1)・220ptの成功画面を記録。</x:v>
      </x:c>
      <x:c r="L50" s="73"/>
    </x:row>
    <x:row r="51">
      <x:c r="A51" s="73" t="str">
        <x:v>T-050</x:v>
      </x:c>
      <x:c r="B51" s="73" t="str">
        <x:v>商店ポータル</x:v>
      </x:c>
      <x:c r="C51" s="73" t="str">
        <x:v>交換失敗</x:v>
      </x:c>
      <x:c r="D51" s="73" t="str">
        <x:v>異常系結合テスト</x:v>
      </x:c>
      <x:c r="E51" s="73" t="str">
        <x:v>ポイント不足または無効QR時に交換を拒否できること</x:v>
      </x:c>
      <x:c r="F51" s="73" t="str">
        <x:v>交換失敗メッセージが表示され、残高と交換履歴は変化しない</x:v>
      </x:c>
      <x:c r="G51" s="103" t="str">
        <x:v>PASS</x:v>
      </x:c>
      <x:c r="H51" s="73" t="str">
        <x:v>デプロイAPI</x:v>
      </x:c>
      <x:c r="I51" s="73" t="str">
        <x:v>2026/07/14</x:v>
      </x:c>
      <x:c r="J51" s="73" t="str">
        <x:v>api/extended-api-results.json
logs/extended-api-summary.log</x:v>
      </x:c>
      <x:c r="K51" s="73" t="str">
        <x:v>商店ポータルへ不正形式QRを送信し、HTTP 400 Invalid URLで拒否されることを確認。</x:v>
      </x:c>
      <x:c r="L51" s="73"/>
    </x:row>
    <x:row r="52">
      <x:c r="A52" s="73" t="str">
        <x:v>T-051</x:v>
      </x:c>
      <x:c r="B52" s="73" t="str">
        <x:v>翻訳キャッシュ</x:v>
      </x:c>
      <x:c r="C52" s="73" t="str">
        <x:v>定期更新</x:v>
      </x:c>
      <x:c r="D52" s="73" t="str">
        <x:v>単体テスト</x:v>
      </x:c>
      <x:c r="E52" s="73" t="str">
        <x:v>翻訳対象テキストを抽出しキャッシュ更新できること</x:v>
      </x:c>
      <x:c r="F52" s="73" t="str">
        <x:v>対象フィールドの翻訳結果、ハッシュ、翻訳日時、ステータスが保存される</x:v>
      </x:c>
      <x:c r="G52" s="125" t="str">
        <x:v>PASS</x:v>
      </x:c>
      <x:c r="H52" s="73" t="str">
        <x:v>GitHub Actions＋デプロイ実測</x:v>
      </x:c>
      <x:c r="I52" s="73" t="str">
        <x:v>2026/07/14</x:v>
      </x:c>
      <x:c r="J52" s="73" t="str">
        <x:v>screenshots/T-051-github-actions-refresh-success-20260714.png
screenshots/T-051-github-actions-refresh-log-20260714.png
api/T-052-translation-refresh-auth-live-20260714.json</x:v>
      </x:c>
      <x:c r="K52" s="73" t="str">
        <x:v>main上のGitHub Actionsを30分間隔（毎時13分・43分）で設定。手動実行は7秒で成功し、翻訳更新は40件・失敗0件。</x:v>
      </x:c>
      <x:c r="L52" s="73" t="str">
        <x:v>Render上に課金対象のCron Jobリソースは存在せず、GitHub Actionsへ移行済み。</x:v>
      </x:c>
    </x:row>
    <x:row r="53">
      <x:c r="A53" s="73" t="str">
        <x:v>T-052</x:v>
      </x:c>
      <x:c r="B53" s="73" t="str">
        <x:v>翻訳キャッシュ</x:v>
      </x:c>
      <x:c r="C53" s="73" t="str">
        <x:v>手動更新API</x:v>
      </x:c>
      <x:c r="D53" s="73" t="str">
        <x:v>結合テスト</x:v>
      </x:c>
      <x:c r="E53" s="73" t="str">
        <x:v>手動更新APIで翻訳キャッシュを更新できること</x:v>
      </x:c>
      <x:c r="F53" s="73" t="str">
        <x:v>認可条件を満たす場合のみ更新され、更新件数または成功結果が返る</x:v>
      </x:c>
      <x:c r="G53" s="125" t="str">
        <x:v>PASS</x:v>
      </x:c>
      <x:c r="H53" s="73" t="str">
        <x:v>デプロイAPI＋GitHub Actions</x:v>
      </x:c>
      <x:c r="I53" s="73" t="str">
        <x:v>2026/07/14</x:v>
      </x:c>
      <x:c r="J53" s="73" t="str">
        <x:v>api/T-052-translation-refresh-auth-live-20260714.json
screenshots/T-051-github-actions-refresh-log-20260714.png</x:v>
      </x:c>
      <x:c r="K53" s="73" t="str">
        <x:v>未認証POSTがHTTP 403、共有キー付きPOSTがHTTP 200。Actions実行でもrecords=40、failed=0を確認。</x:v>
      </x:c>
      <x:c r="L53" s="73" t="str">
        <x:v>TRANSLATION_REFRESH_KEYはGitHub SecretとRender環境変数に同一値を設定し、証跡には値を記録していない。</x:v>
      </x:c>
    </x:row>
    <x:row r="54">
      <x:c r="A54" s="73" t="str">
        <x:v>T-053</x:v>
      </x:c>
      <x:c r="B54" s="73" t="str">
        <x:v>翻訳キャッシュ</x:v>
      </x:c>
      <x:c r="C54" s="73" t="str">
        <x:v>翻訳API失敗</x:v>
      </x:c>
      <x:c r="D54" s="73" t="str">
        <x:v>異常系単体テスト</x:v>
      </x:c>
      <x:c r="E54" s="73" t="str">
        <x:v>翻訳API失敗時にキャッシュ状態をfailedとして扱えること</x:v>
      </x:c>
      <x:c r="F54" s="73" t="str">
        <x:v>失敗した項目はfailedまたは再試行対象となり、表示側は原文にフォールバックできる</x:v>
      </x:c>
      <x:c r="G54" s="80" t="str">
        <x:v>PASS</x:v>
      </x:c>
      <x:c r="H54" s="73" t="str">
        <x:v>ローカル自動</x:v>
      </x:c>
      <x:c r="I54" s="73" t="str">
        <x:v>2026/07/10</x:v>
      </x:c>
      <x:c r="J54" s="73" t="str">
        <x:v>logs/npm-test.log</x:v>
      </x:c>
      <x:c r="K54" s="73" t="str">
        <x:v>翻訳プロバイダ500時の原文フォールバックを確認。</x:v>
      </x:c>
      <x:c r="L54" s="73" t="str"/>
    </x:row>
    <x:row r="55">
      <x:c r="A55" s="73" t="str">
        <x:v>T-054</x:v>
      </x:c>
      <x:c r="B55" s="73" t="str">
        <x:v>管理者</x:v>
      </x:c>
      <x:c r="C55" s="73" t="str">
        <x:v>管理者ログイン</x:v>
      </x:c>
      <x:c r="D55" s="73" t="str">
        <x:v>システムテスト</x:v>
      </x:c>
      <x:c r="E55" s="73" t="str">
        <x:v>管理者権限でログインできること</x:v>
      </x:c>
      <x:c r="F55" s="73" t="str">
        <x:v>管理者ダッシュボードへ遷移し、管理者APIを呼び出せる</x:v>
      </x:c>
      <x:c r="G55" s="80" t="str">
        <x:v>PASS</x:v>
      </x:c>
      <x:c r="H55" s="73" t="str">
        <x:v>デプロイ実測</x:v>
      </x:c>
      <x:c r="I55" s="73" t="str">
        <x:v>2026/07/10</x:v>
      </x:c>
      <x:c r="J55" s="73" t="str">
        <x:v>screenshots/T-054_admin_login.png
screenshots/T-054_admin_home.png
api/live-api-results.json</x:v>
      </x:c>
      <x:c r="K55" s="73" t="str">
        <x:v>管理者ログイン後、統計9項目とランキングを表示。API 200。</x:v>
      </x:c>
      <x:c r="L55" s="73" t="str"/>
    </x:row>
    <x:row r="56">
      <x:c r="A56" s="73" t="str">
        <x:v>T-055</x:v>
      </x:c>
      <x:c r="B56" s="73" t="str">
        <x:v>管理者</x:v>
      </x:c>
      <x:c r="C56" s="73" t="str">
        <x:v>権限不足</x:v>
      </x:c>
      <x:c r="D56" s="73" t="str">
        <x:v>異常系結合テスト</x:v>
      </x:c>
      <x:c r="E56" s="73" t="str">
        <x:v>一般利用者が管理者APIを利用できないこと</x:v>
      </x:c>
      <x:c r="F56" s="73" t="str">
        <x:v>403相当の権限不足エラーとなり、管理データは返らない</x:v>
      </x:c>
      <x:c r="G56" s="80" t="str">
        <x:v>PASS</x:v>
      </x:c>
      <x:c r="H56" s="73" t="str">
        <x:v>ローカル自動</x:v>
      </x:c>
      <x:c r="I56" s="73" t="str">
        <x:v>2026/07/10</x:v>
      </x:c>
      <x:c r="J56" s="73" t="str">
        <x:v>logs/npm-test.log</x:v>
      </x:c>
      <x:c r="K56" s="73" t="str">
        <x:v>一般利用者JWTで/admin/usersを呼び403。</x:v>
      </x:c>
      <x:c r="L56" s="73" t="str"/>
    </x:row>
    <x:row r="57">
      <x:c r="A57" s="73" t="str">
        <x:v>T-056</x:v>
      </x:c>
      <x:c r="B57" s="73" t="str">
        <x:v>管理者</x:v>
      </x:c>
      <x:c r="C57" s="73" t="str">
        <x:v>イベント管理</x:v>
      </x:c>
      <x:c r="D57" s="73" t="str">
        <x:v>結合テスト</x:v>
      </x:c>
      <x:c r="E57" s="73" t="str">
        <x:v>イベントを作成、更新、停止、削除できること</x:v>
      </x:c>
      <x:c r="F57" s="73" t="str">
        <x:v>イベント一覧と利用者向けイベント表示に変更内容が反映される</x:v>
      </x:c>
      <x:c r="G57" s="80" t="str">
        <x:v>PASS</x:v>
      </x:c>
      <x:c r="H57" s="73" t="str">
        <x:v>デプロイ＋自動</x:v>
      </x:c>
      <x:c r="I57" s="73" t="str">
        <x:v>2026/07/10</x:v>
      </x:c>
      <x:c r="J57" s="73" t="str">
        <x:v>screenshots/T-056_admin_events.png
logs/npm-test.log</x:v>
      </x:c>
      <x:c r="K57" s="73" t="str">
        <x:v>ローカルでイベント作成・更新、デプロイで5件一覧を表示。</x:v>
      </x:c>
      <x:c r="L57" s="73" t="str"/>
    </x:row>
    <x:row r="58">
      <x:c r="A58" s="73" t="str">
        <x:v>T-057</x:v>
      </x:c>
      <x:c r="B58" s="73" t="str">
        <x:v>管理者</x:v>
      </x:c>
      <x:c r="C58" s="73" t="str">
        <x:v>店舗・商品管理</x:v>
      </x:c>
      <x:c r="D58" s="73" t="str">
        <x:v>結合テスト</x:v>
      </x:c>
      <x:c r="E58" s="73" t="str">
        <x:v>店舗と交換商品を管理できること</x:v>
      </x:c>
      <x:c r="F58" s="73" t="str">
        <x:v>商品一覧、店舗地図表示、商店ポータルの対象データに反映される</x:v>
      </x:c>
      <x:c r="G58" s="80" t="str">
        <x:v>PASS</x:v>
      </x:c>
      <x:c r="H58" s="73" t="str">
        <x:v>ローカル自動</x:v>
      </x:c>
      <x:c r="I58" s="73" t="str">
        <x:v>2026/07/10</x:v>
      </x:c>
      <x:c r="J58" s="73" t="str">
        <x:v>logs/npm-test.log</x:v>
      </x:c>
      <x:c r="K58" s="73" t="str">
        <x:v>ローカルで店舗・サービス作成、デプロイ一覧API 200。</x:v>
      </x:c>
      <x:c r="L58" s="73" t="str"/>
    </x:row>
    <x:row r="59">
      <x:c r="A59" s="73" t="str">
        <x:v>T-058</x:v>
      </x:c>
      <x:c r="B59" s="73" t="str">
        <x:v>管理者</x:v>
      </x:c>
      <x:c r="C59" s="73" t="str">
        <x:v>ユーザー管理</x:v>
      </x:c>
      <x:c r="D59" s="73" t="str">
        <x:v>結合テスト</x:v>
      </x:c>
      <x:c r="E59" s="73" t="str">
        <x:v>ユーザー情報を検索・確認・更新できること</x:v>
      </x:c>
      <x:c r="F59" s="73" t="str">
        <x:v>対象ユーザーの属性、ポイント、履歴が正しく表示・更新される</x:v>
      </x:c>
      <x:c r="G59" s="103" t="str">
        <x:v>PASS</x:v>
      </x:c>
      <x:c r="H59" s="73" t="str">
        <x:v>デプロイAPI</x:v>
      </x:c>
      <x:c r="I59" s="73" t="str">
        <x:v>2026/07/14</x:v>
      </x:c>
      <x:c r="J59" s="73" t="str">
        <x:v>api/extended-api-results.json
logs/extended-api-summary.log</x:v>
      </x:c>
      <x:c r="K59" s="73" t="str">
        <x:v>管理APIでデモ利用者名を一時更新し、取得結果への反映を確認後、元の名前へ復元。</x:v>
      </x:c>
      <x:c r="L59" s="73" t="str">
        <x:v>利用者名は復元済み。</x:v>
      </x:c>
    </x:row>
    <x:row r="60">
      <x:c r="A60" s="73" t="str">
        <x:v>T-059</x:v>
      </x:c>
      <x:c r="B60" s="73" t="str">
        <x:v>管理者</x:v>
      </x:c>
      <x:c r="C60" s="73" t="str">
        <x:v>通知配信</x:v>
      </x:c>
      <x:c r="D60" s="73" t="str">
        <x:v>結合テスト</x:v>
      </x:c>
      <x:c r="E60" s="73" t="str">
        <x:v>通知を個別または全体へ配信できること</x:v>
      </x:c>
      <x:c r="F60" s="73" t="str">
        <x:v>対象ユーザーの通知一覧に配信内容が表示される</x:v>
      </x:c>
      <x:c r="G60" s="80" t="str">
        <x:v>PASS</x:v>
      </x:c>
      <x:c r="H60" s="73" t="str">
        <x:v>ローカル自動</x:v>
      </x:c>
      <x:c r="I60" s="73" t="str">
        <x:v>2026/07/10</x:v>
      </x:c>
      <x:c r="J60" s="73" t="str">
        <x:v>logs/npm-test.log</x:v>
      </x:c>
      <x:c r="K60" s="73" t="str">
        <x:v>管理通知作成後、利用者通知一覧取得と既読更新が成功。</x:v>
      </x:c>
      <x:c r="L60" s="73" t="str"/>
    </x:row>
    <x:row r="61">
      <x:c r="A61" s="74" t="str">
        <x:v>T-060</x:v>
      </x:c>
      <x:c r="B61" s="74" t="str">
        <x:v>管理者</x:v>
      </x:c>
      <x:c r="C61" s="74" t="str">
        <x:v>問い合わせ管理</x:v>
      </x:c>
      <x:c r="D61" s="74" t="str">
        <x:v>結合テスト</x:v>
      </x:c>
      <x:c r="E61" s="74" t="str">
        <x:v>問い合わせチケットを確認・更新できること</x:v>
      </x:c>
      <x:c r="F61" s="74" t="str">
        <x:v>チケット状態と管理メモが保存され、利用者側の履歴と矛盾しない</x:v>
      </x:c>
      <x:c r="G61" s="89" t="str">
        <x:v>PASS</x:v>
      </x:c>
      <x:c r="H61" s="74" t="str">
        <x:v>ローカル自動</x:v>
      </x:c>
      <x:c r="I61" s="74" t="str">
        <x:v>2026/07/10</x:v>
      </x:c>
      <x:c r="J61" s="74" t="str">
        <x:v>logs/npm-test.log</x:v>
      </x:c>
      <x:c r="K61" s="74" t="str">
        <x:v>問い合わせのresolved更新をローカル結合試験で確認。</x:v>
      </x:c>
      <x:c r="L61" s="7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8" hidden="0" customWidth="1"/>
    <x:col min="4" max="4" width="48" hidden="0" customWidth="1"/>
  </x:cols>
  <x:sheetData>
    <x:row r="1">
      <x:c r="A1" s="62" t="str">
        <x:v>対応テストID</x:v>
      </x:c>
      <x:c r="B1" s="62" t="str">
        <x:v>証跡種別</x:v>
      </x:c>
      <x:c r="C1" s="62" t="str">
        <x:v>ファイル</x:v>
      </x:c>
      <x:c r="D1" s="62" t="str">
        <x:v>内容</x:v>
      </x:c>
    </x:row>
    <x:row r="2">
      <x:c r="A2" s="73" t="str">
        <x:v>T-002</x:v>
      </x:c>
      <x:c r="B2" s="73" t="str">
        <x:v>画面キャプチャ</x:v>
      </x:c>
      <x:c r="C2" s="73" t="str">
        <x:v>screenshots/T-002_user_login.png</x:v>
      </x:c>
      <x:c r="D2" s="73" t="str">
        <x:v>デプロイ済み画面の目視証跡</x:v>
      </x:c>
    </x:row>
    <x:row r="3">
      <x:c r="A3" s="73" t="str">
        <x:v>T-003</x:v>
      </x:c>
      <x:c r="B3" s="73" t="str">
        <x:v>画面キャプチャ</x:v>
      </x:c>
      <x:c r="C3" s="73" t="str">
        <x:v>screenshots/T-003_invalid_login.png</x:v>
      </x:c>
      <x:c r="D3" s="73" t="str">
        <x:v>デプロイ済み画面の目視証跡</x:v>
      </x:c>
    </x:row>
    <x:row r="4">
      <x:c r="A4" s="73" t="str">
        <x:v>T-008</x:v>
      </x:c>
      <x:c r="B4" s="73" t="str">
        <x:v>画面キャプチャ</x:v>
      </x:c>
      <x:c r="C4" s="73" t="str">
        <x:v>screenshots/T-008_home.png</x:v>
      </x:c>
      <x:c r="D4" s="73" t="str">
        <x:v>デプロイ済み画面の目視証跡</x:v>
      </x:c>
    </x:row>
    <x:row r="5">
      <x:c r="A5" s="73" t="str">
        <x:v>T-011</x:v>
      </x:c>
      <x:c r="B5" s="73" t="str">
        <x:v>画面キャプチャ</x:v>
      </x:c>
      <x:c r="C5" s="73" t="str">
        <x:v>screenshots/T-011_event_list.png</x:v>
      </x:c>
      <x:c r="D5" s="73" t="str">
        <x:v>デプロイ済み画面の目視証跡</x:v>
      </x:c>
    </x:row>
    <x:row r="6">
      <x:c r="A6" s="73" t="str">
        <x:v>T-013</x:v>
      </x:c>
      <x:c r="B6" s="73" t="str">
        <x:v>画面キャプチャ</x:v>
      </x:c>
      <x:c r="C6" s="73" t="str">
        <x:v>screenshots/T-013_event_detail.png</x:v>
      </x:c>
      <x:c r="D6" s="73" t="str">
        <x:v>デプロイ済み画面の目視証跡</x:v>
      </x:c>
    </x:row>
    <x:row r="7">
      <x:c r="A7" s="73" t="str">
        <x:v>T-021</x:v>
      </x:c>
      <x:c r="B7" s="73" t="str">
        <x:v>画面キャプチャ</x:v>
      </x:c>
      <x:c r="C7" s="73" t="str">
        <x:v>screenshots/T-021_qr.png</x:v>
      </x:c>
      <x:c r="D7" s="73" t="str">
        <x:v>デプロイ済み画面の目視証跡</x:v>
      </x:c>
    </x:row>
    <x:row r="8">
      <x:c r="A8" s="73" t="str">
        <x:v>T-024</x:v>
      </x:c>
      <x:c r="B8" s="73" t="str">
        <x:v>画面キャプチャ</x:v>
      </x:c>
      <x:c r="C8" s="73" t="str">
        <x:v>screenshots/T-024_wallet.png</x:v>
      </x:c>
      <x:c r="D8" s="73" t="str">
        <x:v>デプロイ済み画面の目視証跡</x:v>
      </x:c>
    </x:row>
    <x:row r="9">
      <x:c r="A9" s="73" t="str">
        <x:v>T-032</x:v>
      </x:c>
      <x:c r="B9" s="73" t="str">
        <x:v>画面キャプチャ</x:v>
      </x:c>
      <x:c r="C9" s="73" t="str">
        <x:v>screenshots/T-032_account.png</x:v>
      </x:c>
      <x:c r="D9" s="73" t="str">
        <x:v>デプロイ済み画面の目視証跡</x:v>
      </x:c>
    </x:row>
    <x:row r="10">
      <x:c r="A10" s="73" t="str">
        <x:v>T-039</x:v>
      </x:c>
      <x:c r="B10" s="73" t="str">
        <x:v>画面キャプチャ</x:v>
      </x:c>
      <x:c r="C10" s="73" t="str">
        <x:v>screenshots/T-039_notifications.png</x:v>
      </x:c>
      <x:c r="D10" s="73" t="str">
        <x:v>デプロイ済み画面の目視証跡</x:v>
      </x:c>
    </x:row>
    <x:row r="11">
      <x:c r="A11" s="73" t="str">
        <x:v>T-042</x:v>
      </x:c>
      <x:c r="B11" s="73" t="str">
        <x:v>画面キャプチャ</x:v>
      </x:c>
      <x:c r="C11" s="73" t="str">
        <x:v>screenshots/T-042_event_login.png</x:v>
      </x:c>
      <x:c r="D11" s="73" t="str">
        <x:v>デプロイ済み画面の目視証跡</x:v>
      </x:c>
    </x:row>
    <x:row r="12">
      <x:c r="A12" s="73" t="str">
        <x:v>T-043</x:v>
      </x:c>
      <x:c r="B12" s="73" t="str">
        <x:v>画面キャプチャ</x:v>
      </x:c>
      <x:c r="C12" s="73" t="str">
        <x:v>screenshots/T-043_event_invalid.png</x:v>
      </x:c>
      <x:c r="D12" s="73" t="str">
        <x:v>デプロイ済み画面の目視証跡</x:v>
      </x:c>
    </x:row>
    <x:row r="13">
      <x:c r="A13" s="73" t="str">
        <x:v>T-047</x:v>
      </x:c>
      <x:c r="B13" s="73" t="str">
        <x:v>画面キャプチャ</x:v>
      </x:c>
      <x:c r="C13" s="73" t="str">
        <x:v>screenshots/T-047_event_manual_input.png</x:v>
      </x:c>
      <x:c r="D13" s="73" t="str">
        <x:v>デプロイ済み画面の目視証跡</x:v>
      </x:c>
    </x:row>
    <x:row r="14">
      <x:c r="A14" s="73" t="str">
        <x:v>T-047</x:v>
      </x:c>
      <x:c r="B14" s="73" t="str">
        <x:v>画面キャプチャ</x:v>
      </x:c>
      <x:c r="C14" s="73" t="str">
        <x:v>screenshots/T-047_event_qr_input.png</x:v>
      </x:c>
      <x:c r="D14" s="73" t="str">
        <x:v>デプロイ済み画面の目視証跡</x:v>
      </x:c>
    </x:row>
    <x:row r="15">
      <x:c r="A15" s="73" t="str">
        <x:v>T-048</x:v>
      </x:c>
      <x:c r="B15" s="73" t="str">
        <x:v>画面キャプチャ</x:v>
      </x:c>
      <x:c r="C15" s="73" t="str">
        <x:v>screenshots/T-048_store_login.png</x:v>
      </x:c>
      <x:c r="D15" s="73" t="str">
        <x:v>デプロイ済み画面の目視証跡</x:v>
      </x:c>
    </x:row>
    <x:row r="16">
      <x:c r="A16" s="73" t="str">
        <x:v>T-054</x:v>
      </x:c>
      <x:c r="B16" s="73" t="str">
        <x:v>画面キャプチャ</x:v>
      </x:c>
      <x:c r="C16" s="73" t="str">
        <x:v>screenshots/T-054_admin_home.png</x:v>
      </x:c>
      <x:c r="D16" s="73" t="str">
        <x:v>デプロイ済み画面の目視証跡</x:v>
      </x:c>
    </x:row>
    <x:row r="17">
      <x:c r="A17" s="73" t="str">
        <x:v>T-054</x:v>
      </x:c>
      <x:c r="B17" s="73" t="str">
        <x:v>画面キャプチャ</x:v>
      </x:c>
      <x:c r="C17" s="73" t="str">
        <x:v>screenshots/T-054_admin_login.png</x:v>
      </x:c>
      <x:c r="D17" s="73" t="str">
        <x:v>デプロイ済み画面の目視証跡</x:v>
      </x:c>
    </x:row>
    <x:row r="18">
      <x:c r="A18" s="73" t="str">
        <x:v>T-056</x:v>
      </x:c>
      <x:c r="B18" s="73" t="str">
        <x:v>画面キャプチャ</x:v>
      </x:c>
      <x:c r="C18" s="73" t="str">
        <x:v>screenshots/T-056_admin_events.png</x:v>
      </x:c>
      <x:c r="D18" s="73" t="str">
        <x:v>デプロイ済み画面の目視証跡</x:v>
      </x:c>
    </x:row>
    <x:row r="19">
      <x:c r="A19" s="73" t="str">
        <x:v>T-058</x:v>
      </x:c>
      <x:c r="B19" s="73" t="str">
        <x:v>画面キャプチャ</x:v>
      </x:c>
      <x:c r="C19" s="73" t="str">
        <x:v>screenshots/T-058_admin_users.png</x:v>
      </x:c>
      <x:c r="D19" s="73" t="str">
        <x:v>デプロイ済み画面の目視証跡</x:v>
      </x:c>
    </x:row>
    <x:row r="20">
      <x:c r="A20" s="73" t="str">
        <x:v>T-004</x:v>
      </x:c>
      <x:c r="B20" s="73" t="str">
        <x:v>API結果</x:v>
      </x:c>
      <x:c r="C20" s="73" t="str">
        <x:v>api/T-004_rate-limit.json</x:v>
      </x:c>
      <x:c r="D20" s="73" t="str">
        <x:v>HTTPステータスと判定結果</x:v>
      </x:c>
    </x:row>
    <x:row r="21">
      <x:c r="A21" s="73" t="str">
        <x:v>複数</x:v>
      </x:c>
      <x:c r="B21" s="73" t="str">
        <x:v>API結果</x:v>
      </x:c>
      <x:c r="C21" s="73" t="str">
        <x:v>api/live-api-results.json</x:v>
      </x:c>
      <x:c r="D21" s="73" t="str">
        <x:v>HTTPステータスと判定結果</x:v>
      </x:c>
    </x:row>
    <x:row r="22">
      <x:c r="A22" s="73" t="str">
        <x:v>複数</x:v>
      </x:c>
      <x:c r="B22" s="73" t="str">
        <x:v>自動試験ログ</x:v>
      </x:c>
      <x:c r="C22" s="73" t="str">
        <x:v>logs/npm-test.log</x:v>
      </x:c>
      <x:c r="D22" s="73" t="str">
        <x:v>バックエンド、翻訳、3フロント、パートナーポータルの総合試験</x:v>
      </x:c>
    </x:row>
    <x:row r="23">
      <x:c r="A23" s="74" t="str">
        <x:v>複数</x:v>
      </x:c>
      <x:c r="B23" s="74" t="str">
        <x:v>APIサマリー</x:v>
      </x:c>
      <x:c r="C23" s="74" t="str">
        <x:v>logs/live-api-summary.log</x:v>
      </x:c>
      <x:c r="D23" s="74" t="str">
        <x:v>デプロイAPI実行結果一覧</x:v>
      </x:c>
    </x:row>
    <x:row r="24" ht="15" hidden="0" customHeight="1">
      <x:c r="A24" s="101" t="str">
        <x:v>T-012</x:v>
      </x:c>
      <x:c r="B24" s="101" t="str">
        <x:v>画面キャプチャ</x:v>
      </x:c>
      <x:c r="C24" s="101" t="str">
        <x:v>screenshots/T-012_recommended_tab.png</x:v>
      </x:c>
      <x:c r="D24" s="101" t="str">
        <x:v>おすすめタブ表示</x:v>
      </x:c>
    </x:row>
    <x:row r="25" ht="15" hidden="0" customHeight="1">
      <x:c r="A25" s="101" t="str">
        <x:v>T-012</x:v>
      </x:c>
      <x:c r="B25" s="101" t="str">
        <x:v>画面キャプチャ</x:v>
      </x:c>
      <x:c r="C25" s="101" t="str">
        <x:v>screenshots/T-012_liked_tab.png</x:v>
      </x:c>
      <x:c r="D25" s="101" t="str">
        <x:v>いいね済みタブ表示</x:v>
      </x:c>
    </x:row>
    <x:row r="26" ht="15" hidden="0" customHeight="1">
      <x:c r="A26" s="101" t="str">
        <x:v>T-012</x:v>
      </x:c>
      <x:c r="B26" s="101" t="str">
        <x:v>画面キャプチャ</x:v>
      </x:c>
      <x:c r="C26" s="101" t="str">
        <x:v>screenshots/T-012_participated_tab.png</x:v>
      </x:c>
      <x:c r="D26" s="101" t="str">
        <x:v>応募済みタブ表示</x:v>
      </x:c>
    </x:row>
    <x:row r="27" ht="15" hidden="0" customHeight="1">
      <x:c r="A27" s="101" t="str">
        <x:v>T-013</x:v>
      </x:c>
      <x:c r="B27" s="101" t="str">
        <x:v>画面キャプチャ</x:v>
      </x:c>
      <x:c r="C27" s="101" t="str">
        <x:v>screenshots/T-013_event_detail_verified.png</x:v>
      </x:c>
      <x:c r="D27" s="101" t="str">
        <x:v>イベント詳細モーダル表示</x:v>
      </x:c>
    </x:row>
    <x:row r="28" ht="39.599998474121094" hidden="0" customHeight="1">
      <x:c r="A28" s="101" t="str">
        <x:v>T-014</x:v>
      </x:c>
      <x:c r="B28" s="101" t="str">
        <x:v>画面/API結果</x:v>
      </x:c>
      <x:c r="C28" s="101" t="str">
        <x:v>screenshots/T-014_outside_tap_closed.png / screenshots/T-014_down_swipe_closed.png / api/T-014-modal-close.json</x:v>
      </x:c>
      <x:c r="D28" s="101" t="str">
        <x:v>外側タップ・下フリック閉鎖</x:v>
      </x:c>
    </x:row>
    <x:row r="29" ht="26.399999618530273" hidden="0" customHeight="1">
      <x:c r="A29" s="101" t="str">
        <x:v>T-022</x:v>
      </x:c>
      <x:c r="B29" s="101" t="str">
        <x:v>画面/API結果</x:v>
      </x:c>
      <x:c r="C29" s="101" t="str">
        <x:v>screenshots/T-022_qr_payload_keys.png / api/T-022-qr-payload-inspection.json</x:v>
      </x:c>
      <x:c r="D29" s="101" t="str">
        <x:v>QR許可キーと秘密情報非包含</x:v>
      </x:c>
    </x:row>
    <x:row r="30" ht="26.399999618530273" hidden="0" customHeight="1">
      <x:c r="A30" s="101" t="str">
        <x:v>T-051</x:v>
      </x:c>
      <x:c r="B30" s="101" t="str">
        <x:v>設定/画面</x:v>
      </x:c>
      <x:c r="C30" s="101" t="str">
        <x:v>api/T-051-render-cron-check.json / screenshots/T-051_render_login_required.png</x:v>
      </x:c>
      <x:c r="D30" s="101" t="str">
        <x:v>30分Cron定義とDashboard認証要求</x:v>
      </x:c>
    </x:row>
    <x:row r="31" ht="15" hidden="0" customHeight="1">
      <x:c r="A31" s="101" t="str">
        <x:v>T-052</x:v>
      </x:c>
      <x:c r="B31" s="101" t="str">
        <x:v>API結果</x:v>
      </x:c>
      <x:c r="C31" s="101" t="str">
        <x:v>api/extended-api-results.json</x:v>
      </x:c>
      <x:c r="D31" s="101" t="str">
        <x:v>未認証refreshがHTTP 200となる不適合</x:v>
      </x:c>
    </x:row>
    <x:row r="32" ht="15" hidden="0" customHeight="1">
      <x:c r="A32" s="101" t="str">
        <x:v>複数</x:v>
      </x:c>
      <x:c r="B32" s="101" t="str">
        <x:v>API結果</x:v>
      </x:c>
      <x:c r="C32" s="101" t="str">
        <x:v>api/extended-api-results.json</x:v>
      </x:c>
      <x:c r="D32" s="101" t="str">
        <x:v>追加副作用テストと復元結果</x:v>
      </x:c>
    </x:row>
    <x:row r="33" ht="15" hidden="0" customHeight="1">
      <x:c r="A33" s="101" t="str">
        <x:v>複数</x:v>
      </x:c>
      <x:c r="B33" s="101" t="str">
        <x:v>APIサマリー</x:v>
      </x:c>
      <x:c r="C33" s="101" t="str">
        <x:v>logs/extended-api-summary.log</x:v>
      </x:c>
      <x:c r="D33" s="101" t="str">
        <x:v>追加API試験結果一覧</x:v>
      </x:c>
    </x:row>
    <x:row r="34" ht="15" hidden="0" customHeight="1">
      <x:c r="A34" s="101" t="str">
        <x:v>複数</x:v>
      </x:c>
      <x:c r="B34" s="101" t="str">
        <x:v>実行スクリプト</x:v>
      </x:c>
      <x:c r="C34" s="101" t="str">
        <x:v>run-extended-api-evidence.ps1</x:v>
      </x:c>
      <x:c r="D34" s="101" t="str">
        <x:v>資格情報を引数で受ける再実行用スクリプト</x:v>
      </x:c>
    </x:row>
    <x:row r="35">
      <x:c r="A35" t="str">
        <x:v>T-010</x:v>
      </x:c>
      <x:c r="B35" t="str">
        <x:v>画面キャプチャ</x:v>
      </x:c>
      <x:c r="C35" t="str">
        <x:v>screenshots/T-010-api-unreachable-live-20260714.png</x:v>
      </x:c>
      <x:c r="D35" t="str">
        <x:v>到達不能APIに対する明示的な接続エラー表示</x:v>
      </x:c>
    </x:row>
    <x:row r="36">
      <x:c r="A36" t="str">
        <x:v>T-010</x:v>
      </x:c>
      <x:c r="B36" t="str">
        <x:v>API結果</x:v>
      </x:c>
      <x:c r="C36" t="str">
        <x:v>api/T-010-api-unreachable-live-20260714.json</x:v>
      </x:c>
      <x:c r="D36" t="str">
        <x:v>障害注入条件、期待結果、実測結果</x:v>
      </x:c>
    </x:row>
    <x:row r="37">
      <x:c r="A37" t="str">
        <x:v>T-047</x:v>
      </x:c>
      <x:c r="B37" t="str">
        <x:v>画面キャプチャ</x:v>
      </x:c>
      <x:c r="C37" t="str">
        <x:v>screenshots/T-047-camera-unavailable-live-20260714.png / screenshots/T-047-manual-checkin-success-live-20260714.png</x:v>
      </x:c>
      <x:c r="D37" t="str">
        <x:v>カメラ未対応案内と手入力受付成功</x:v>
      </x:c>
    </x:row>
    <x:row r="38">
      <x:c r="A38" t="str">
        <x:v>T-047</x:v>
      </x:c>
      <x:c r="B38" t="str">
        <x:v>API結果</x:v>
      </x:c>
      <x:c r="C38" t="str">
        <x:v>api/T-047-camera-fallback-live-20260714.json</x:v>
      </x:c>
      <x:c r="D38" t="str">
        <x:v>デプロイ済み主催者ポータルでの受付結果</x:v>
      </x:c>
    </x:row>
    <x:row r="39">
      <x:c r="A39" t="str">
        <x:v>T-005</x:v>
      </x:c>
      <x:c r="B39" t="str">
        <x:v>画面キャプチャ</x:v>
      </x:c>
      <x:c r="C39" t="str">
        <x:v>screenshots/T-005-password-reset-sent-live-20260714.png / screenshots/T-005-password-reset-email-inbox-live-20260714.png</x:v>
      </x:c>
      <x:c r="D39" t="str">
        <x:v>再設定依頼完了画面と外部受信箱への実メール到着</x:v>
      </x:c>
    </x:row>
    <x:row r="40">
      <x:c r="A40" t="str">
        <x:v>T-005</x:v>
      </x:c>
      <x:c r="B40" t="str">
        <x:v>API結果</x:v>
      </x:c>
      <x:c r="C40" t="str">
        <x:v>api/T-005-password-reset-email-live-20260714.json</x:v>
      </x:c>
      <x:c r="D40" t="str">
        <x:v>送信元、受信時刻、トークン生成、URL設定不備</x:v>
      </x:c>
    </x:row>
    <x:row r="41">
      <x:c r="A41" t="str">
        <x:v>T-006</x:v>
      </x:c>
      <x:c r="B41" t="str">
        <x:v>画面キャプチャ</x:v>
      </x:c>
      <x:c r="C41" t="str">
        <x:v>screenshots/T-006-password-reset-login-live-20260714.png</x:v>
      </x:c>
      <x:c r="D41" t="str">
        <x:v>新パスワードでデプロイ済みホームへログイン</x:v>
      </x:c>
    </x:row>
    <x:row r="42">
      <x:c r="A42" t="str">
        <x:v>T-006</x:v>
      </x:c>
      <x:c r="B42" t="str">
        <x:v>API結果</x:v>
      </x:c>
      <x:c r="C42" t="str">
        <x:v>api/T-006-password-reset-live-20260714.json</x:v>
      </x:c>
      <x:c r="D42" t="str">
        <x:v>再設定実行と資格情報復元結果</x:v>
      </x:c>
    </x:row>
    <x:row r="43">
      <x:c r="A43" t="str">
        <x:v>T-051</x:v>
      </x:c>
      <x:c r="B43" t="str">
        <x:v>画面キャプチャ</x:v>
      </x:c>
      <x:c r="C43" t="str">
        <x:v>screenshots/T-051-render-project-services-live-20260714.png</x:v>
      </x:c>
      <x:c r="D43" t="str">
        <x:v>認証済みRenderプロジェクトのリソース一覧（Web Service 1件）</x:v>
      </x:c>
    </x:row>
    <x:row r="44">
      <x:c r="A44" t="str">
        <x:v>T-051</x:v>
      </x:c>
      <x:c r="B44" t="str">
        <x:v>API結果</x:v>
      </x:c>
      <x:c r="C44" t="str">
        <x:v>api/T-051-translation-refresh-live-20260714.json / api/T-051-render-dashboard-live-20260714.json</x:v>
      </x:c>
      <x:c r="D44" t="str">
        <x:v>翻訳40/40件更新成功とCron Job未作成の確認</x:v>
      </x:c>
    </x:row>
    <x:row r="45">
      <x:c r="A45" t="str">
        <x:v>T-044</x:v>
      </x:c>
      <x:c r="B45" t="str">
        <x:v>画面キャプチャ</x:v>
      </x:c>
      <x:c r="C45" t="str">
        <x:v>screenshots/T-044-manual-checkin-success-live-20260714.png</x:v>
      </x:c>
      <x:c r="D45" t="str">
        <x:v>カメラ読取と同じ後続処理によるイベント受付成功画面</x:v>
      </x:c>
    </x:row>
    <x:row r="46">
      <x:c r="A46" t="str">
        <x:v>T-044</x:v>
      </x:c>
      <x:c r="B46" t="str">
        <x:v>確認結果</x:v>
      </x:c>
      <x:c r="C46" t="str">
        <x:v>api/T-044-camera-checkin-confirmed-20260714.json</x:v>
      </x:c>
      <x:c r="D46" t="str">
        <x:v>利用者による物理カメラ読取確認と表示同等性</x:v>
      </x:c>
    </x:row>
    <x:row r="47">
      <x:c r="A47" t="str">
        <x:v>T-049</x:v>
      </x:c>
      <x:c r="B47" t="str">
        <x:v>画面キャプチャ</x:v>
      </x:c>
      <x:c r="C47" t="str">
        <x:v>screenshots/T-049-manual-exchange-success-live-20260714.png</x:v>
      </x:c>
      <x:c r="D47" t="str">
        <x:v>手入力QRによる商品交換成功画面</x:v>
      </x:c>
    </x:row>
    <x:row r="48">
      <x:c r="A48" t="str">
        <x:v>T-049</x:v>
      </x:c>
      <x:c r="B48" t="str">
        <x:v>確認結果</x:v>
      </x:c>
      <x:c r="C48" t="str">
        <x:v>api/T-049-manual-exchange-live-20260714.json</x:v>
      </x:c>
      <x:c r="D48" t="str">
        <x:v>利用者による物理カメラ読取確認と交換実測</x:v>
      </x:c>
    </x:row>
    <x:row r="49">
      <x:c r="A49" t="str">
        <x:v>T-051</x:v>
      </x:c>
      <x:c r="B49" t="str">
        <x:v>画面キャプチャ</x:v>
      </x:c>
      <x:c r="C49" t="str">
        <x:v>screenshots/T-051-github-actions-refresh-success-20260714.png / screenshots/T-051-github-actions-refresh-log-20260714.png</x:v>
      </x:c>
      <x:c r="D49" t="str">
        <x:v>GitHub Actionsの成功サマリーと翻訳更新レスポンス（40件・失敗0件）</x:v>
      </x:c>
    </x:row>
    <x:row r="50">
      <x:c r="A50" t="str">
        <x:v>T-052</x:v>
      </x:c>
      <x:c r="B50" t="str">
        <x:v>API結果</x:v>
      </x:c>
      <x:c r="C50" t="str">
        <x:v>api/T-052-translation-refresh-auth-live-20260714.json</x:v>
      </x:c>
      <x:c r="D50" t="str">
        <x:v>未認証HTTP 403、認証済みHTTP 200、Actions成功Run ID</x:v>
      </x:c>
    </x:row>
  </x:sheetData>
  <x:pageMargins left="0.7" right="0.7" top="0.75" bottom="0.75" header="0.3" footer="0.3"/>
</x:worksheet>
</file>